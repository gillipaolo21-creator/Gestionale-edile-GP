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RADE e SERVIZI S.r.l.u\PROLOGIS - MILANO DC5\Angelo\2025.05.23_23.145-GARA MOVIMENTO TERRA\GARA MOVIMENTO TERRA\"/>
    </mc:Choice>
  </mc:AlternateContent>
  <xr:revisionPtr revIDLastSave="0" documentId="13_ncr:1_{5A8EBE4A-EE24-431C-83B8-0BB4B191A4AE}" xr6:coauthVersionLast="47" xr6:coauthVersionMax="47" xr10:uidLastSave="{00000000-0000-0000-0000-000000000000}"/>
  <bookViews>
    <workbookView xWindow="-28908" yWindow="-108" windowWidth="29016" windowHeight="15696" xr2:uid="{41770CD3-5C84-4556-9EE5-92EA0D272E98}"/>
  </bookViews>
  <sheets>
    <sheet name="MT-CME.01" sheetId="1" r:id="rId1"/>
    <sheet name="POSA IN OPERA" sheetId="2" r:id="rId2"/>
  </sheets>
  <externalReferences>
    <externalReference r:id="rId3"/>
    <externalReference r:id="rId4"/>
  </externalReferences>
  <definedNames>
    <definedName name="_xlnm._FilterDatabase" localSheetId="1" hidden="1">'POSA IN OPERA'!$A$7:$W$251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2" i="1" l="1"/>
  <c r="L222" i="2"/>
  <c r="N222" i="2"/>
  <c r="AA251" i="2"/>
  <c r="S248" i="2"/>
  <c r="S245" i="2"/>
  <c r="X245" i="2"/>
  <c r="S241" i="2"/>
  <c r="S236" i="2"/>
  <c r="M248" i="2"/>
  <c r="M245" i="2"/>
  <c r="M241" i="2"/>
  <c r="M236" i="2"/>
  <c r="V248" i="2"/>
  <c r="W248" i="2" s="1"/>
  <c r="V245" i="2"/>
  <c r="W245" i="2" s="1"/>
  <c r="V241" i="2"/>
  <c r="W241" i="2" s="1"/>
  <c r="V236" i="2"/>
  <c r="V178" i="2"/>
  <c r="V179" i="2" s="1"/>
  <c r="V180" i="2" s="1"/>
  <c r="V183" i="2"/>
  <c r="V207" i="2" s="1"/>
  <c r="V130" i="2"/>
  <c r="V133" i="2" s="1"/>
  <c r="V137" i="2" s="1"/>
  <c r="S130" i="2"/>
  <c r="S133" i="2" s="1"/>
  <c r="S115" i="2"/>
  <c r="V77" i="2"/>
  <c r="V60" i="2"/>
  <c r="V51" i="2"/>
  <c r="S24" i="2"/>
  <c r="V24" i="2"/>
  <c r="S220" i="2"/>
  <c r="S207" i="2"/>
  <c r="S204" i="2"/>
  <c r="S201" i="2"/>
  <c r="S178" i="2"/>
  <c r="S179" i="2" s="1"/>
  <c r="S180" i="2" s="1"/>
  <c r="S183" i="2" s="1"/>
  <c r="S184" i="2" s="1"/>
  <c r="S185" i="2" s="1"/>
  <c r="S174" i="2"/>
  <c r="S175" i="2" s="1"/>
  <c r="S148" i="2"/>
  <c r="V127" i="2"/>
  <c r="S127" i="2"/>
  <c r="V126" i="2"/>
  <c r="S126" i="2"/>
  <c r="V125" i="2"/>
  <c r="S125" i="2"/>
  <c r="S124" i="2"/>
  <c r="V124" i="2"/>
  <c r="X241" i="2" l="1"/>
  <c r="Y241" i="2" s="1"/>
  <c r="Z241" i="2" s="1"/>
  <c r="Y245" i="2"/>
  <c r="Z245" i="2" s="1"/>
  <c r="V184" i="2"/>
  <c r="V185" i="2" s="1"/>
  <c r="V204" i="2"/>
  <c r="X236" i="2"/>
  <c r="Y236" i="2"/>
  <c r="Z236" i="2" s="1"/>
  <c r="X248" i="2"/>
  <c r="Y248" i="2" s="1"/>
  <c r="Z248" i="2" s="1"/>
  <c r="W236" i="2"/>
  <c r="W250" i="2" s="1"/>
  <c r="S137" i="2"/>
  <c r="S118" i="2" l="1"/>
  <c r="V118" i="2"/>
  <c r="V119" i="2" s="1"/>
  <c r="V107" i="2"/>
  <c r="S107" i="2"/>
  <c r="V106" i="2"/>
  <c r="S106" i="2"/>
  <c r="V104" i="2"/>
  <c r="V103" i="2"/>
  <c r="S104" i="2"/>
  <c r="S103" i="2"/>
  <c r="V102" i="2"/>
  <c r="S102" i="2"/>
  <c r="V101" i="2"/>
  <c r="S101" i="2"/>
  <c r="V100" i="2"/>
  <c r="S100" i="2"/>
  <c r="V94" i="2"/>
  <c r="S94" i="2"/>
  <c r="X94" i="2" s="1"/>
  <c r="V93" i="2"/>
  <c r="S93" i="2"/>
  <c r="X225" i="2"/>
  <c r="W225" i="2"/>
  <c r="W226" i="2" s="1"/>
  <c r="X220" i="2"/>
  <c r="W220" i="2"/>
  <c r="X213" i="2"/>
  <c r="W213" i="2"/>
  <c r="W212" i="2"/>
  <c r="X211" i="2"/>
  <c r="W211" i="2"/>
  <c r="W210" i="2"/>
  <c r="X207" i="2"/>
  <c r="X204" i="2"/>
  <c r="X201" i="2"/>
  <c r="W201" i="2"/>
  <c r="X196" i="2"/>
  <c r="W196" i="2"/>
  <c r="X189" i="2"/>
  <c r="W188" i="2"/>
  <c r="X185" i="2"/>
  <c r="X184" i="2"/>
  <c r="X183" i="2"/>
  <c r="X180" i="2"/>
  <c r="X179" i="2"/>
  <c r="X178" i="2"/>
  <c r="X175" i="2"/>
  <c r="W175" i="2"/>
  <c r="X174" i="2"/>
  <c r="W174" i="2"/>
  <c r="X173" i="2"/>
  <c r="W173" i="2"/>
  <c r="X168" i="2"/>
  <c r="W168" i="2"/>
  <c r="X161" i="2"/>
  <c r="W161" i="2"/>
  <c r="X159" i="2"/>
  <c r="Y159" i="2" s="1"/>
  <c r="Z159" i="2" s="1"/>
  <c r="W159" i="2"/>
  <c r="X158" i="2"/>
  <c r="Y158" i="2" s="1"/>
  <c r="Z158" i="2" s="1"/>
  <c r="W158" i="2"/>
  <c r="X157" i="2"/>
  <c r="Y157" i="2" s="1"/>
  <c r="Z157" i="2" s="1"/>
  <c r="W157" i="2"/>
  <c r="X154" i="2"/>
  <c r="X151" i="2"/>
  <c r="X148" i="2"/>
  <c r="W148" i="2"/>
  <c r="W143" i="2"/>
  <c r="W139" i="2"/>
  <c r="W138" i="2"/>
  <c r="X137" i="2"/>
  <c r="W134" i="2"/>
  <c r="X133" i="2"/>
  <c r="X130" i="2"/>
  <c r="X127" i="2"/>
  <c r="X126" i="2"/>
  <c r="X125" i="2"/>
  <c r="X124" i="2"/>
  <c r="W115" i="2"/>
  <c r="X89" i="2"/>
  <c r="X86" i="2"/>
  <c r="V88" i="2"/>
  <c r="S88" i="2"/>
  <c r="V86" i="2"/>
  <c r="S86" i="2"/>
  <c r="V85" i="2"/>
  <c r="S85" i="2"/>
  <c r="V84" i="2"/>
  <c r="S84" i="2"/>
  <c r="U112" i="2"/>
  <c r="W219" i="2"/>
  <c r="T219" i="2"/>
  <c r="U219" i="2"/>
  <c r="W218" i="2"/>
  <c r="T218" i="2"/>
  <c r="U218" i="2"/>
  <c r="W217" i="2"/>
  <c r="T217" i="2"/>
  <c r="U217" i="2"/>
  <c r="W216" i="2"/>
  <c r="T216" i="2"/>
  <c r="U216" i="2"/>
  <c r="W215" i="2"/>
  <c r="T215" i="2"/>
  <c r="U215" i="2"/>
  <c r="W214" i="2"/>
  <c r="T214" i="2"/>
  <c r="U214" i="2"/>
  <c r="T212" i="2"/>
  <c r="U212" i="2"/>
  <c r="T211" i="2"/>
  <c r="W209" i="2"/>
  <c r="T209" i="2"/>
  <c r="U209" i="2"/>
  <c r="W208" i="2"/>
  <c r="T208" i="2"/>
  <c r="U208" i="2"/>
  <c r="W206" i="2"/>
  <c r="T206" i="2"/>
  <c r="U206" i="2"/>
  <c r="W205" i="2"/>
  <c r="T205" i="2"/>
  <c r="U205" i="2"/>
  <c r="W203" i="2"/>
  <c r="T203" i="2"/>
  <c r="U203" i="2"/>
  <c r="W202" i="2"/>
  <c r="T202" i="2"/>
  <c r="U202" i="2"/>
  <c r="W200" i="2"/>
  <c r="T200" i="2"/>
  <c r="U200" i="2"/>
  <c r="W199" i="2"/>
  <c r="T199" i="2"/>
  <c r="U199" i="2"/>
  <c r="W198" i="2"/>
  <c r="T198" i="2"/>
  <c r="U198" i="2"/>
  <c r="W197" i="2"/>
  <c r="T197" i="2"/>
  <c r="U197" i="2"/>
  <c r="W195" i="2"/>
  <c r="T195" i="2"/>
  <c r="U195" i="2"/>
  <c r="W194" i="2"/>
  <c r="T194" i="2"/>
  <c r="U194" i="2"/>
  <c r="W193" i="2"/>
  <c r="T193" i="2"/>
  <c r="U193" i="2"/>
  <c r="W192" i="2"/>
  <c r="T192" i="2"/>
  <c r="U192" i="2"/>
  <c r="W191" i="2"/>
  <c r="T191" i="2"/>
  <c r="U191" i="2"/>
  <c r="W190" i="2"/>
  <c r="T190" i="2"/>
  <c r="U190" i="2"/>
  <c r="W187" i="2"/>
  <c r="T187" i="2"/>
  <c r="U187" i="2"/>
  <c r="W186" i="2"/>
  <c r="T186" i="2"/>
  <c r="U186" i="2"/>
  <c r="W182" i="2"/>
  <c r="T182" i="2"/>
  <c r="U182" i="2"/>
  <c r="W181" i="2"/>
  <c r="T181" i="2"/>
  <c r="U181" i="2"/>
  <c r="W177" i="2"/>
  <c r="T177" i="2"/>
  <c r="U177" i="2"/>
  <c r="W176" i="2"/>
  <c r="T176" i="2"/>
  <c r="U176" i="2"/>
  <c r="W172" i="2"/>
  <c r="T172" i="2"/>
  <c r="U172" i="2"/>
  <c r="W171" i="2"/>
  <c r="T171" i="2"/>
  <c r="U171" i="2"/>
  <c r="W170" i="2"/>
  <c r="T170" i="2"/>
  <c r="U170" i="2"/>
  <c r="W169" i="2"/>
  <c r="T169" i="2"/>
  <c r="U169" i="2"/>
  <c r="W167" i="2"/>
  <c r="T167" i="2"/>
  <c r="U167" i="2"/>
  <c r="W166" i="2"/>
  <c r="T166" i="2"/>
  <c r="U166" i="2"/>
  <c r="W165" i="2"/>
  <c r="T165" i="2"/>
  <c r="U165" i="2"/>
  <c r="W164" i="2"/>
  <c r="T164" i="2"/>
  <c r="U164" i="2"/>
  <c r="W163" i="2"/>
  <c r="T163" i="2"/>
  <c r="U163" i="2"/>
  <c r="W162" i="2"/>
  <c r="T162" i="2"/>
  <c r="U162" i="2"/>
  <c r="T161" i="2"/>
  <c r="W160" i="2"/>
  <c r="T160" i="2"/>
  <c r="U160" i="2"/>
  <c r="T159" i="2"/>
  <c r="T158" i="2"/>
  <c r="T157" i="2"/>
  <c r="W156" i="2"/>
  <c r="T156" i="2"/>
  <c r="U156" i="2"/>
  <c r="W155" i="2"/>
  <c r="T155" i="2"/>
  <c r="U155" i="2"/>
  <c r="W153" i="2"/>
  <c r="T153" i="2"/>
  <c r="U153" i="2"/>
  <c r="W152" i="2"/>
  <c r="T152" i="2"/>
  <c r="U152" i="2"/>
  <c r="W150" i="2"/>
  <c r="T150" i="2"/>
  <c r="U150" i="2"/>
  <c r="W149" i="2"/>
  <c r="T149" i="2"/>
  <c r="U149" i="2"/>
  <c r="W147" i="2"/>
  <c r="T147" i="2"/>
  <c r="U147" i="2"/>
  <c r="W146" i="2"/>
  <c r="T146" i="2"/>
  <c r="U146" i="2"/>
  <c r="W145" i="2"/>
  <c r="T145" i="2"/>
  <c r="U145" i="2"/>
  <c r="W144" i="2"/>
  <c r="T144" i="2"/>
  <c r="U144" i="2"/>
  <c r="T143" i="2"/>
  <c r="W142" i="2"/>
  <c r="T142" i="2"/>
  <c r="U142" i="2"/>
  <c r="W141" i="2"/>
  <c r="T141" i="2"/>
  <c r="U141" i="2"/>
  <c r="W140" i="2"/>
  <c r="T140" i="2"/>
  <c r="U140" i="2"/>
  <c r="T139" i="2"/>
  <c r="R139" i="2"/>
  <c r="U139" i="2" s="1"/>
  <c r="T138" i="2"/>
  <c r="R138" i="2"/>
  <c r="U138" i="2" s="1"/>
  <c r="W136" i="2"/>
  <c r="T136" i="2"/>
  <c r="U136" i="2"/>
  <c r="W135" i="2"/>
  <c r="T135" i="2"/>
  <c r="U135" i="2"/>
  <c r="T134" i="2"/>
  <c r="W132" i="2"/>
  <c r="T132" i="2"/>
  <c r="U132" i="2"/>
  <c r="W131" i="2"/>
  <c r="T131" i="2"/>
  <c r="U131" i="2"/>
  <c r="W129" i="2"/>
  <c r="T129" i="2"/>
  <c r="U129" i="2"/>
  <c r="W128" i="2"/>
  <c r="T128" i="2"/>
  <c r="U128" i="2"/>
  <c r="W117" i="2"/>
  <c r="T117" i="2"/>
  <c r="U117" i="2"/>
  <c r="W116" i="2"/>
  <c r="T116" i="2"/>
  <c r="U116" i="2"/>
  <c r="W114" i="2"/>
  <c r="T114" i="2"/>
  <c r="U114" i="2"/>
  <c r="W113" i="2"/>
  <c r="T113" i="2"/>
  <c r="U113" i="2"/>
  <c r="W112" i="2"/>
  <c r="T112" i="2"/>
  <c r="W111" i="2"/>
  <c r="T111" i="2"/>
  <c r="U111" i="2"/>
  <c r="W110" i="2"/>
  <c r="T110" i="2"/>
  <c r="U110" i="2"/>
  <c r="W109" i="2"/>
  <c r="T109" i="2"/>
  <c r="U109" i="2"/>
  <c r="W108" i="2"/>
  <c r="T108" i="2"/>
  <c r="U108" i="2"/>
  <c r="W99" i="2"/>
  <c r="T99" i="2"/>
  <c r="U99" i="2"/>
  <c r="W98" i="2"/>
  <c r="T98" i="2"/>
  <c r="U98" i="2"/>
  <c r="W97" i="2"/>
  <c r="T97" i="2"/>
  <c r="U97" i="2"/>
  <c r="W92" i="2"/>
  <c r="T92" i="2"/>
  <c r="U92" i="2"/>
  <c r="W91" i="2"/>
  <c r="T91" i="2"/>
  <c r="U91" i="2"/>
  <c r="W90" i="2"/>
  <c r="T90" i="2"/>
  <c r="U90" i="2"/>
  <c r="M225" i="2"/>
  <c r="M220" i="2"/>
  <c r="M213" i="2"/>
  <c r="M211" i="2"/>
  <c r="M210" i="2"/>
  <c r="M207" i="2"/>
  <c r="M204" i="2"/>
  <c r="M201" i="2"/>
  <c r="M196" i="2"/>
  <c r="M189" i="2"/>
  <c r="M188" i="2"/>
  <c r="S188" i="2" s="1"/>
  <c r="X188" i="2" s="1"/>
  <c r="M185" i="2"/>
  <c r="M184" i="2"/>
  <c r="M183" i="2"/>
  <c r="M180" i="2"/>
  <c r="M179" i="2"/>
  <c r="M178" i="2"/>
  <c r="M175" i="2"/>
  <c r="M174" i="2"/>
  <c r="M173" i="2"/>
  <c r="M168" i="2"/>
  <c r="N219" i="2"/>
  <c r="N218" i="2"/>
  <c r="N217" i="2"/>
  <c r="N216" i="2"/>
  <c r="N215" i="2"/>
  <c r="N214" i="2"/>
  <c r="N212" i="2"/>
  <c r="N209" i="2"/>
  <c r="N208" i="2"/>
  <c r="N206" i="2"/>
  <c r="N205" i="2"/>
  <c r="N203" i="2"/>
  <c r="N202" i="2"/>
  <c r="N200" i="2"/>
  <c r="N199" i="2"/>
  <c r="N198" i="2"/>
  <c r="N197" i="2"/>
  <c r="N195" i="2"/>
  <c r="N194" i="2"/>
  <c r="N193" i="2"/>
  <c r="N192" i="2"/>
  <c r="N191" i="2"/>
  <c r="N190" i="2"/>
  <c r="N187" i="2"/>
  <c r="N186" i="2"/>
  <c r="N182" i="2"/>
  <c r="N181" i="2"/>
  <c r="N177" i="2"/>
  <c r="N176" i="2"/>
  <c r="N172" i="2"/>
  <c r="N171" i="2"/>
  <c r="N170" i="2"/>
  <c r="N169" i="2"/>
  <c r="N167" i="2"/>
  <c r="N166" i="2"/>
  <c r="N165" i="2"/>
  <c r="N164" i="2"/>
  <c r="N163" i="2"/>
  <c r="N162" i="2"/>
  <c r="N160" i="2"/>
  <c r="N159" i="2"/>
  <c r="N158" i="2"/>
  <c r="N157" i="2"/>
  <c r="N156" i="2"/>
  <c r="N155" i="2"/>
  <c r="N153" i="2"/>
  <c r="N152" i="2"/>
  <c r="N150" i="2"/>
  <c r="N149" i="2"/>
  <c r="N147" i="2"/>
  <c r="N146" i="2"/>
  <c r="N145" i="2"/>
  <c r="N144" i="2"/>
  <c r="N142" i="2"/>
  <c r="N141" i="2"/>
  <c r="N140" i="2"/>
  <c r="N136" i="2"/>
  <c r="N135" i="2"/>
  <c r="N132" i="2"/>
  <c r="N131" i="2"/>
  <c r="N129" i="2"/>
  <c r="N128" i="2"/>
  <c r="N117" i="2"/>
  <c r="N116" i="2"/>
  <c r="N114" i="2"/>
  <c r="N113" i="2"/>
  <c r="N112" i="2"/>
  <c r="N111" i="2"/>
  <c r="N110" i="2"/>
  <c r="N109" i="2"/>
  <c r="N108" i="2"/>
  <c r="N99" i="2"/>
  <c r="N98" i="2"/>
  <c r="N97" i="2"/>
  <c r="N92" i="2"/>
  <c r="N91" i="2"/>
  <c r="N90" i="2"/>
  <c r="N76" i="2"/>
  <c r="N75" i="2"/>
  <c r="N72" i="2"/>
  <c r="N68" i="2"/>
  <c r="N62" i="2"/>
  <c r="N61" i="2"/>
  <c r="N53" i="2"/>
  <c r="N52" i="2"/>
  <c r="N43" i="2"/>
  <c r="N42" i="2"/>
  <c r="N37" i="2"/>
  <c r="N36" i="2"/>
  <c r="N35" i="2"/>
  <c r="X88" i="2" l="1"/>
  <c r="X103" i="2"/>
  <c r="X106" i="2"/>
  <c r="Y173" i="2"/>
  <c r="Z173" i="2" s="1"/>
  <c r="Y201" i="2"/>
  <c r="Z201" i="2" s="1"/>
  <c r="X118" i="2"/>
  <c r="Y183" i="2"/>
  <c r="Z183" i="2" s="1"/>
  <c r="Y185" i="2"/>
  <c r="Z185" i="2" s="1"/>
  <c r="Y196" i="2"/>
  <c r="Z196" i="2" s="1"/>
  <c r="Y220" i="2"/>
  <c r="Z220" i="2" s="1"/>
  <c r="Y225" i="2"/>
  <c r="Z225" i="2" s="1"/>
  <c r="Y188" i="2"/>
  <c r="Z188" i="2" s="1"/>
  <c r="Y189" i="2"/>
  <c r="Z189" i="2" s="1"/>
  <c r="Y180" i="2"/>
  <c r="Z180" i="2" s="1"/>
  <c r="Y204" i="2"/>
  <c r="Z204" i="2" s="1"/>
  <c r="Y207" i="2"/>
  <c r="Z207" i="2" s="1"/>
  <c r="Y174" i="2"/>
  <c r="Z174" i="2" s="1"/>
  <c r="Y175" i="2"/>
  <c r="Z175" i="2" s="1"/>
  <c r="Y184" i="2"/>
  <c r="Z184" i="2" s="1"/>
  <c r="Y211" i="2"/>
  <c r="Z211" i="2" s="1"/>
  <c r="Y178" i="2"/>
  <c r="Z178" i="2" s="1"/>
  <c r="Y213" i="2"/>
  <c r="Z213" i="2" s="1"/>
  <c r="Y168" i="2"/>
  <c r="Z168" i="2" s="1"/>
  <c r="Y179" i="2"/>
  <c r="Z179" i="2" s="1"/>
  <c r="X107" i="2"/>
  <c r="X84" i="2"/>
  <c r="X104" i="2"/>
  <c r="V120" i="2"/>
  <c r="V87" i="2"/>
  <c r="S119" i="2"/>
  <c r="X119" i="2" s="1"/>
  <c r="X85" i="2"/>
  <c r="S95" i="2"/>
  <c r="V95" i="2"/>
  <c r="S87" i="2"/>
  <c r="X115" i="2"/>
  <c r="X102" i="2"/>
  <c r="X101" i="2"/>
  <c r="X100" i="2"/>
  <c r="X96" i="2"/>
  <c r="X93" i="2"/>
  <c r="V121" i="2" l="1"/>
  <c r="S105" i="2"/>
  <c r="V105" i="2"/>
  <c r="X95" i="2"/>
  <c r="S120" i="2"/>
  <c r="X87" i="2"/>
  <c r="S121" i="2" l="1"/>
  <c r="X105" i="2"/>
  <c r="X120" i="2"/>
  <c r="V122" i="2"/>
  <c r="X121" i="2"/>
  <c r="S122" i="2" l="1"/>
  <c r="X122" i="2" s="1"/>
  <c r="W123" i="2" l="1"/>
  <c r="T123" i="2"/>
  <c r="X123" i="2" l="1"/>
  <c r="X77" i="2"/>
  <c r="T74" i="2"/>
  <c r="R74" i="2"/>
  <c r="U74" i="2" s="1"/>
  <c r="T73" i="2"/>
  <c r="X71" i="2"/>
  <c r="X70" i="2"/>
  <c r="X69" i="2"/>
  <c r="X67" i="2"/>
  <c r="X65" i="2"/>
  <c r="X64" i="2"/>
  <c r="X63" i="2"/>
  <c r="X60" i="2"/>
  <c r="X51" i="2"/>
  <c r="X41" i="2"/>
  <c r="X34" i="2"/>
  <c r="X33" i="2"/>
  <c r="T71" i="2"/>
  <c r="T70" i="2"/>
  <c r="T69" i="2"/>
  <c r="T66" i="2"/>
  <c r="T65" i="2"/>
  <c r="W64" i="2"/>
  <c r="T64" i="2"/>
  <c r="W63" i="2"/>
  <c r="T63" i="2"/>
  <c r="W34" i="2"/>
  <c r="W33" i="2"/>
  <c r="X32" i="2"/>
  <c r="W32" i="2"/>
  <c r="N22" i="2"/>
  <c r="W22" i="2"/>
  <c r="W21" i="2"/>
  <c r="W20" i="2"/>
  <c r="W19" i="2"/>
  <c r="W18" i="2"/>
  <c r="W17" i="2"/>
  <c r="W16" i="2"/>
  <c r="W15" i="2"/>
  <c r="W14" i="2"/>
  <c r="W13" i="2"/>
  <c r="X26" i="2"/>
  <c r="X21" i="2"/>
  <c r="X20" i="2"/>
  <c r="X19" i="2"/>
  <c r="X18" i="2"/>
  <c r="X17" i="2"/>
  <c r="X16" i="2"/>
  <c r="X15" i="2"/>
  <c r="X14" i="2"/>
  <c r="X13" i="2"/>
  <c r="X25" i="2"/>
  <c r="X24" i="2"/>
  <c r="X23" i="2" l="1"/>
  <c r="M161" i="2" l="1"/>
  <c r="M154" i="2"/>
  <c r="M151" i="2"/>
  <c r="M148" i="2"/>
  <c r="M137" i="2"/>
  <c r="M133" i="2"/>
  <c r="M130" i="2"/>
  <c r="M127" i="2"/>
  <c r="M126" i="2"/>
  <c r="M125" i="2"/>
  <c r="M124" i="2"/>
  <c r="M123" i="2"/>
  <c r="M122" i="2"/>
  <c r="M121" i="2"/>
  <c r="M115" i="2"/>
  <c r="M107" i="2"/>
  <c r="M106" i="2"/>
  <c r="M104" i="2"/>
  <c r="M96" i="2"/>
  <c r="M95" i="2"/>
  <c r="M93" i="2"/>
  <c r="M89" i="2"/>
  <c r="M88" i="2"/>
  <c r="M87" i="2"/>
  <c r="M86" i="2"/>
  <c r="M85" i="2"/>
  <c r="M84" i="2"/>
  <c r="M77" i="2"/>
  <c r="M73" i="2"/>
  <c r="V73" i="2" s="1"/>
  <c r="M71" i="2"/>
  <c r="M70" i="2"/>
  <c r="M69" i="2"/>
  <c r="M67" i="2"/>
  <c r="M66" i="2"/>
  <c r="M65" i="2"/>
  <c r="M64" i="2"/>
  <c r="M63" i="2"/>
  <c r="M60" i="2"/>
  <c r="M59" i="2"/>
  <c r="N59" i="2" s="1"/>
  <c r="M58" i="2"/>
  <c r="N58" i="2" s="1"/>
  <c r="M57" i="2"/>
  <c r="N57" i="2" s="1"/>
  <c r="M56" i="2"/>
  <c r="N56" i="2" s="1"/>
  <c r="M55" i="2"/>
  <c r="N55" i="2" s="1"/>
  <c r="M54" i="2"/>
  <c r="N54" i="2" s="1"/>
  <c r="M51" i="2"/>
  <c r="M50" i="2"/>
  <c r="N50" i="2" s="1"/>
  <c r="M49" i="2"/>
  <c r="N49" i="2" s="1"/>
  <c r="M48" i="2"/>
  <c r="N48" i="2" s="1"/>
  <c r="M47" i="2"/>
  <c r="N47" i="2" s="1"/>
  <c r="M46" i="2"/>
  <c r="N46" i="2" s="1"/>
  <c r="M45" i="2"/>
  <c r="N45" i="2" s="1"/>
  <c r="M44" i="2"/>
  <c r="N44" i="2" s="1"/>
  <c r="M41" i="2"/>
  <c r="M40" i="2"/>
  <c r="N40" i="2" s="1"/>
  <c r="M39" i="2"/>
  <c r="N39" i="2" s="1"/>
  <c r="M38" i="2"/>
  <c r="N38" i="2" s="1"/>
  <c r="M34" i="2"/>
  <c r="M33" i="2"/>
  <c r="M32" i="2"/>
  <c r="X73" i="2" l="1"/>
  <c r="Y95" i="2"/>
  <c r="Z95" i="2" s="1"/>
  <c r="Y96" i="2"/>
  <c r="Z96" i="2" s="1"/>
  <c r="Y130" i="2"/>
  <c r="Z130" i="2" s="1"/>
  <c r="Y125" i="2"/>
  <c r="Z125" i="2" s="1"/>
  <c r="Y93" i="2"/>
  <c r="Z93" i="2" s="1"/>
  <c r="Y89" i="2"/>
  <c r="Z89" i="2" s="1"/>
  <c r="Y127" i="2"/>
  <c r="Z127" i="2" s="1"/>
  <c r="Y107" i="2"/>
  <c r="Z107" i="2" s="1"/>
  <c r="Y148" i="2"/>
  <c r="Z148" i="2" s="1"/>
  <c r="Y121" i="2"/>
  <c r="Z121" i="2" s="1"/>
  <c r="Y154" i="2"/>
  <c r="Z154" i="2" s="1"/>
  <c r="Y86" i="2"/>
  <c r="Z86" i="2" s="1"/>
  <c r="Y122" i="2"/>
  <c r="Z122" i="2" s="1"/>
  <c r="Y161" i="2"/>
  <c r="Z161" i="2" s="1"/>
  <c r="Y87" i="2"/>
  <c r="Z87" i="2" s="1"/>
  <c r="Y123" i="2"/>
  <c r="Z123" i="2" s="1"/>
  <c r="Y126" i="2"/>
  <c r="Z126" i="2" s="1"/>
  <c r="Y104" i="2"/>
  <c r="Z104" i="2" s="1"/>
  <c r="Y133" i="2"/>
  <c r="Z133" i="2" s="1"/>
  <c r="Y106" i="2"/>
  <c r="Z106" i="2" s="1"/>
  <c r="Y137" i="2"/>
  <c r="Z137" i="2" s="1"/>
  <c r="Y84" i="2"/>
  <c r="Z84" i="2" s="1"/>
  <c r="Y115" i="2"/>
  <c r="Z115" i="2" s="1"/>
  <c r="Y151" i="2"/>
  <c r="Z151" i="2" s="1"/>
  <c r="Y85" i="2"/>
  <c r="Z85" i="2" s="1"/>
  <c r="Y88" i="2"/>
  <c r="Z88" i="2" s="1"/>
  <c r="Y124" i="2"/>
  <c r="Z124" i="2" s="1"/>
  <c r="Y65" i="2"/>
  <c r="Z65" i="2" s="1"/>
  <c r="Y34" i="2"/>
  <c r="Z34" i="2" s="1"/>
  <c r="Y41" i="2"/>
  <c r="Z41" i="2" s="1"/>
  <c r="Y64" i="2"/>
  <c r="Z64" i="2" s="1"/>
  <c r="Y32" i="2"/>
  <c r="Z32" i="2" s="1"/>
  <c r="Y67" i="2"/>
  <c r="Z67" i="2" s="1"/>
  <c r="Y70" i="2"/>
  <c r="Z70" i="2" s="1"/>
  <c r="Y73" i="2"/>
  <c r="Z73" i="2" s="1"/>
  <c r="Y77" i="2"/>
  <c r="Z77" i="2" s="1"/>
  <c r="Y33" i="2"/>
  <c r="Z33" i="2" s="1"/>
  <c r="Y51" i="2"/>
  <c r="Z51" i="2" s="1"/>
  <c r="Y69" i="2"/>
  <c r="Z69" i="2" s="1"/>
  <c r="Y60" i="2"/>
  <c r="Z60" i="2" s="1"/>
  <c r="Y71" i="2"/>
  <c r="Z71" i="2" s="1"/>
  <c r="Y63" i="2"/>
  <c r="Z63" i="2" s="1"/>
  <c r="M26" i="2"/>
  <c r="M25" i="2"/>
  <c r="M24" i="2"/>
  <c r="M14" i="2"/>
  <c r="M15" i="2"/>
  <c r="M16" i="2"/>
  <c r="M17" i="2"/>
  <c r="M18" i="2"/>
  <c r="M19" i="2"/>
  <c r="M20" i="2"/>
  <c r="M21" i="2"/>
  <c r="M13" i="2"/>
  <c r="Y21" i="2" l="1"/>
  <c r="Z21" i="2" s="1"/>
  <c r="Y20" i="2"/>
  <c r="Z20" i="2" s="1"/>
  <c r="Y17" i="2"/>
  <c r="Z17" i="2" s="1"/>
  <c r="Y14" i="2"/>
  <c r="Z14" i="2" s="1"/>
  <c r="Y24" i="2"/>
  <c r="Z24" i="2" s="1"/>
  <c r="Y25" i="2"/>
  <c r="Z25" i="2" s="1"/>
  <c r="Y13" i="2"/>
  <c r="Z13" i="2" s="1"/>
  <c r="Y19" i="2"/>
  <c r="Z19" i="2" s="1"/>
  <c r="Y18" i="2"/>
  <c r="Z18" i="2" s="1"/>
  <c r="Y16" i="2"/>
  <c r="Z16" i="2" s="1"/>
  <c r="Y15" i="2"/>
  <c r="Z15" i="2" s="1"/>
  <c r="Y26" i="2"/>
  <c r="Z26" i="2" s="1"/>
  <c r="P253" i="2"/>
  <c r="P255" i="2" s="1"/>
  <c r="J248" i="2"/>
  <c r="J244" i="2"/>
  <c r="J245" i="2" s="1"/>
  <c r="H244" i="2"/>
  <c r="H240" i="2"/>
  <c r="H235" i="2"/>
  <c r="J235" i="2" s="1"/>
  <c r="H234" i="2"/>
  <c r="J234" i="2" s="1"/>
  <c r="H225" i="2"/>
  <c r="J225" i="2" s="1"/>
  <c r="H219" i="2"/>
  <c r="J213" i="2"/>
  <c r="H213" i="2"/>
  <c r="J211" i="2"/>
  <c r="H211" i="2"/>
  <c r="J210" i="2"/>
  <c r="H210" i="2"/>
  <c r="F207" i="2"/>
  <c r="H207" i="2" s="1"/>
  <c r="J204" i="2"/>
  <c r="H204" i="2"/>
  <c r="J201" i="2"/>
  <c r="H201" i="2"/>
  <c r="C195" i="2"/>
  <c r="H195" i="2" s="1"/>
  <c r="J189" i="2"/>
  <c r="H189" i="2"/>
  <c r="J188" i="2"/>
  <c r="H188" i="2"/>
  <c r="E185" i="2"/>
  <c r="D185" i="2"/>
  <c r="E184" i="2"/>
  <c r="D184" i="2"/>
  <c r="E183" i="2"/>
  <c r="D183" i="2"/>
  <c r="J183" i="2" s="1"/>
  <c r="N183" i="2" s="1"/>
  <c r="R183" i="2" s="1"/>
  <c r="E180" i="2"/>
  <c r="D180" i="2"/>
  <c r="E179" i="2"/>
  <c r="D179" i="2"/>
  <c r="E178" i="2"/>
  <c r="D178" i="2"/>
  <c r="E175" i="2"/>
  <c r="D175" i="2"/>
  <c r="E174" i="2"/>
  <c r="D174" i="2"/>
  <c r="J174" i="2" s="1"/>
  <c r="J173" i="2"/>
  <c r="H173" i="2"/>
  <c r="H167" i="2"/>
  <c r="J161" i="2"/>
  <c r="H161" i="2"/>
  <c r="J159" i="2"/>
  <c r="R159" i="2" s="1"/>
  <c r="U159" i="2" s="1"/>
  <c r="H159" i="2"/>
  <c r="J158" i="2"/>
  <c r="H158" i="2"/>
  <c r="J157" i="2"/>
  <c r="R157" i="2" s="1"/>
  <c r="U157" i="2" s="1"/>
  <c r="H157" i="2"/>
  <c r="J154" i="2"/>
  <c r="H154" i="2"/>
  <c r="J151" i="2"/>
  <c r="H151" i="2"/>
  <c r="J148" i="2"/>
  <c r="H148" i="2"/>
  <c r="J139" i="2"/>
  <c r="H139" i="2"/>
  <c r="J138" i="2"/>
  <c r="H138" i="2"/>
  <c r="J137" i="2"/>
  <c r="H137" i="2"/>
  <c r="J134" i="2"/>
  <c r="R134" i="2" s="1"/>
  <c r="U134" i="2" s="1"/>
  <c r="H134" i="2"/>
  <c r="D133" i="2"/>
  <c r="J133" i="2" s="1"/>
  <c r="D130" i="2"/>
  <c r="H130" i="2" s="1"/>
  <c r="J126" i="2"/>
  <c r="H126" i="2"/>
  <c r="J125" i="2"/>
  <c r="H125" i="2"/>
  <c r="J124" i="2"/>
  <c r="H124" i="2"/>
  <c r="J123" i="2"/>
  <c r="H123" i="2"/>
  <c r="D122" i="2"/>
  <c r="J122" i="2" s="1"/>
  <c r="D121" i="2"/>
  <c r="H121" i="2" s="1"/>
  <c r="K120" i="2"/>
  <c r="J120" i="2"/>
  <c r="H120" i="2"/>
  <c r="K119" i="2"/>
  <c r="M119" i="2" s="1"/>
  <c r="D119" i="2"/>
  <c r="J119" i="2" s="1"/>
  <c r="K118" i="2"/>
  <c r="M118" i="2" s="1"/>
  <c r="D118" i="2"/>
  <c r="J118" i="2" s="1"/>
  <c r="D111" i="2"/>
  <c r="H111" i="2" s="1"/>
  <c r="D107" i="2"/>
  <c r="H107" i="2" s="1"/>
  <c r="J107" i="2" s="1"/>
  <c r="H106" i="2"/>
  <c r="J106" i="2" s="1"/>
  <c r="K105" i="2"/>
  <c r="M105" i="2" s="1"/>
  <c r="H105" i="2"/>
  <c r="J105" i="2" s="1"/>
  <c r="D104" i="2"/>
  <c r="H104" i="2" s="1"/>
  <c r="J104" i="2" s="1"/>
  <c r="K103" i="2"/>
  <c r="M103" i="2" s="1"/>
  <c r="D103" i="2"/>
  <c r="H103" i="2" s="1"/>
  <c r="J103" i="2" s="1"/>
  <c r="K102" i="2"/>
  <c r="M102" i="2" s="1"/>
  <c r="D102" i="2"/>
  <c r="H102" i="2" s="1"/>
  <c r="J102" i="2" s="1"/>
  <c r="K101" i="2"/>
  <c r="M101" i="2" s="1"/>
  <c r="D101" i="2"/>
  <c r="H101" i="2" s="1"/>
  <c r="J101" i="2" s="1"/>
  <c r="K100" i="2"/>
  <c r="M100" i="2" s="1"/>
  <c r="H100" i="2"/>
  <c r="J100" i="2" s="1"/>
  <c r="L100" i="2" s="1"/>
  <c r="H96" i="2"/>
  <c r="J96" i="2" s="1"/>
  <c r="H95" i="2"/>
  <c r="J95" i="2" s="1"/>
  <c r="K94" i="2"/>
  <c r="M94" i="2" s="1"/>
  <c r="H94" i="2"/>
  <c r="J94" i="2" s="1"/>
  <c r="L94" i="2" s="1"/>
  <c r="D93" i="2"/>
  <c r="H93" i="2" s="1"/>
  <c r="J93" i="2" s="1"/>
  <c r="H89" i="2"/>
  <c r="J89" i="2" s="1"/>
  <c r="H88" i="2"/>
  <c r="J88" i="2" s="1"/>
  <c r="H87" i="2"/>
  <c r="J87" i="2" s="1"/>
  <c r="H86" i="2"/>
  <c r="J86" i="2" s="1"/>
  <c r="H85" i="2"/>
  <c r="J85" i="2" s="1"/>
  <c r="D84" i="2"/>
  <c r="H84" i="2" s="1"/>
  <c r="J84" i="2" s="1"/>
  <c r="N84" i="2" s="1"/>
  <c r="H77" i="2"/>
  <c r="J77" i="2" s="1"/>
  <c r="K74" i="2"/>
  <c r="H74" i="2"/>
  <c r="H73" i="2"/>
  <c r="J73" i="2" s="1"/>
  <c r="H71" i="2"/>
  <c r="J71" i="2" s="1"/>
  <c r="H70" i="2"/>
  <c r="J70" i="2" s="1"/>
  <c r="H69" i="2"/>
  <c r="J69" i="2" s="1"/>
  <c r="F67" i="2"/>
  <c r="H67" i="2" s="1"/>
  <c r="J67" i="2" s="1"/>
  <c r="F66" i="2"/>
  <c r="H66" i="2" s="1"/>
  <c r="J66" i="2" s="1"/>
  <c r="F65" i="2"/>
  <c r="H65" i="2" s="1"/>
  <c r="J65" i="2" s="1"/>
  <c r="F64" i="2"/>
  <c r="H64" i="2" s="1"/>
  <c r="J64" i="2" s="1"/>
  <c r="H63" i="2"/>
  <c r="J63" i="2" s="1"/>
  <c r="F60" i="2"/>
  <c r="H59" i="2"/>
  <c r="J59" i="2" s="1"/>
  <c r="L59" i="2" s="1"/>
  <c r="H58" i="2"/>
  <c r="J58" i="2" s="1"/>
  <c r="L58" i="2" s="1"/>
  <c r="H57" i="2"/>
  <c r="J57" i="2" s="1"/>
  <c r="L57" i="2" s="1"/>
  <c r="H56" i="2"/>
  <c r="J56" i="2" s="1"/>
  <c r="L56" i="2" s="1"/>
  <c r="H55" i="2"/>
  <c r="J55" i="2" s="1"/>
  <c r="L55" i="2" s="1"/>
  <c r="H54" i="2"/>
  <c r="J54" i="2" s="1"/>
  <c r="F51" i="2"/>
  <c r="H50" i="2"/>
  <c r="J50" i="2" s="1"/>
  <c r="L50" i="2" s="1"/>
  <c r="H49" i="2"/>
  <c r="J49" i="2" s="1"/>
  <c r="L49" i="2" s="1"/>
  <c r="H48" i="2"/>
  <c r="J48" i="2" s="1"/>
  <c r="L48" i="2" s="1"/>
  <c r="H47" i="2"/>
  <c r="J47" i="2" s="1"/>
  <c r="L47" i="2" s="1"/>
  <c r="H46" i="2"/>
  <c r="J46" i="2" s="1"/>
  <c r="L46" i="2" s="1"/>
  <c r="H45" i="2"/>
  <c r="J45" i="2" s="1"/>
  <c r="L45" i="2" s="1"/>
  <c r="H44" i="2"/>
  <c r="F41" i="2"/>
  <c r="H40" i="2"/>
  <c r="J40" i="2" s="1"/>
  <c r="L40" i="2" s="1"/>
  <c r="H39" i="2"/>
  <c r="J39" i="2" s="1"/>
  <c r="L39" i="2" s="1"/>
  <c r="H38" i="2"/>
  <c r="J38" i="2" s="1"/>
  <c r="H34" i="2"/>
  <c r="J34" i="2" s="1"/>
  <c r="H33" i="2"/>
  <c r="J33" i="2" s="1"/>
  <c r="H32" i="2"/>
  <c r="J32" i="2" s="1"/>
  <c r="H26" i="2"/>
  <c r="J26" i="2" s="1"/>
  <c r="N26" i="2" s="1"/>
  <c r="H25" i="2"/>
  <c r="J25" i="2" s="1"/>
  <c r="N25" i="2" s="1"/>
  <c r="H24" i="2"/>
  <c r="J24" i="2" s="1"/>
  <c r="N24" i="2" s="1"/>
  <c r="K23" i="2"/>
  <c r="M23" i="2" s="1"/>
  <c r="H23" i="2"/>
  <c r="J23" i="2" s="1"/>
  <c r="H21" i="2"/>
  <c r="J21" i="2" s="1"/>
  <c r="N21" i="2" s="1"/>
  <c r="H20" i="2"/>
  <c r="J20" i="2" s="1"/>
  <c r="N20" i="2" s="1"/>
  <c r="D19" i="2"/>
  <c r="H19" i="2" s="1"/>
  <c r="J19" i="2" s="1"/>
  <c r="N19" i="2" s="1"/>
  <c r="H18" i="2"/>
  <c r="J18" i="2" s="1"/>
  <c r="N18" i="2" s="1"/>
  <c r="H17" i="2"/>
  <c r="J17" i="2" s="1"/>
  <c r="N17" i="2" s="1"/>
  <c r="H16" i="2"/>
  <c r="J16" i="2" s="1"/>
  <c r="N16" i="2" s="1"/>
  <c r="H15" i="2"/>
  <c r="J15" i="2" s="1"/>
  <c r="N15" i="2" s="1"/>
  <c r="H14" i="2"/>
  <c r="J14" i="2" s="1"/>
  <c r="N14" i="2" s="1"/>
  <c r="H13" i="2"/>
  <c r="J13" i="2" s="1"/>
  <c r="N13" i="2" s="1"/>
  <c r="O258" i="1"/>
  <c r="O260" i="1" s="1"/>
  <c r="O256" i="1"/>
  <c r="O254" i="1"/>
  <c r="M229" i="1"/>
  <c r="M252" i="1" s="1"/>
  <c r="M254" i="1" s="1"/>
  <c r="M256" i="1" s="1"/>
  <c r="M258" i="1" s="1"/>
  <c r="M79" i="1"/>
  <c r="M28" i="1"/>
  <c r="L120" i="1"/>
  <c r="L119" i="1"/>
  <c r="L118" i="1"/>
  <c r="L105" i="1"/>
  <c r="L103" i="1"/>
  <c r="L102" i="1"/>
  <c r="L101" i="1"/>
  <c r="L100" i="1"/>
  <c r="L94" i="1"/>
  <c r="L74" i="1"/>
  <c r="L23" i="1"/>
  <c r="D130" i="1"/>
  <c r="D133" i="1"/>
  <c r="D93" i="1"/>
  <c r="H119" i="1"/>
  <c r="H120" i="1"/>
  <c r="K120" i="1"/>
  <c r="D119" i="1"/>
  <c r="K119" i="1" s="1"/>
  <c r="M119" i="1" s="1"/>
  <c r="D121" i="1"/>
  <c r="H121" i="1" s="1"/>
  <c r="D118" i="1"/>
  <c r="U183" i="2" l="1"/>
  <c r="W183" i="2" s="1"/>
  <c r="T183" i="2"/>
  <c r="L245" i="2"/>
  <c r="N245" i="2"/>
  <c r="R245" i="2" s="1"/>
  <c r="L248" i="2"/>
  <c r="N248" i="2"/>
  <c r="R248" i="2" s="1"/>
  <c r="N118" i="2"/>
  <c r="R118" i="2" s="1"/>
  <c r="Y118" i="2"/>
  <c r="Z118" i="2" s="1"/>
  <c r="L87" i="2"/>
  <c r="N87" i="2"/>
  <c r="R87" i="2" s="1"/>
  <c r="U87" i="2" s="1"/>
  <c r="W87" i="2" s="1"/>
  <c r="L125" i="2"/>
  <c r="N125" i="2"/>
  <c r="R125" i="2" s="1"/>
  <c r="N119" i="2"/>
  <c r="R119" i="2" s="1"/>
  <c r="Y119" i="2"/>
  <c r="Z119" i="2" s="1"/>
  <c r="L126" i="2"/>
  <c r="N126" i="2"/>
  <c r="R126" i="2" s="1"/>
  <c r="L148" i="2"/>
  <c r="N148" i="2"/>
  <c r="R148" i="2" s="1"/>
  <c r="L161" i="2"/>
  <c r="N161" i="2"/>
  <c r="R161" i="2" s="1"/>
  <c r="U161" i="2" s="1"/>
  <c r="L88" i="2"/>
  <c r="N88" i="2"/>
  <c r="R88" i="2" s="1"/>
  <c r="L93" i="2"/>
  <c r="N93" i="2"/>
  <c r="R93" i="2" s="1"/>
  <c r="N103" i="2"/>
  <c r="R103" i="2" s="1"/>
  <c r="Y103" i="2"/>
  <c r="Z103" i="2" s="1"/>
  <c r="L225" i="2"/>
  <c r="L226" i="2" s="1"/>
  <c r="N225" i="2"/>
  <c r="L86" i="2"/>
  <c r="N86" i="2"/>
  <c r="R86" i="2" s="1"/>
  <c r="N102" i="2"/>
  <c r="R102" i="2" s="1"/>
  <c r="Y102" i="2"/>
  <c r="Z102" i="2" s="1"/>
  <c r="L104" i="2"/>
  <c r="N104" i="2"/>
  <c r="R104" i="2" s="1"/>
  <c r="L133" i="2"/>
  <c r="N133" i="2"/>
  <c r="R133" i="2" s="1"/>
  <c r="H165" i="2"/>
  <c r="N151" i="2"/>
  <c r="R151" i="2" s="1"/>
  <c r="H216" i="2"/>
  <c r="N201" i="2"/>
  <c r="R201" i="2" s="1"/>
  <c r="J236" i="2"/>
  <c r="N236" i="2" s="1"/>
  <c r="L211" i="2"/>
  <c r="N211" i="2"/>
  <c r="R211" i="2" s="1"/>
  <c r="U211" i="2" s="1"/>
  <c r="L89" i="2"/>
  <c r="N89" i="2"/>
  <c r="R89" i="2" s="1"/>
  <c r="N94" i="2"/>
  <c r="R94" i="2" s="1"/>
  <c r="Y94" i="2"/>
  <c r="Z94" i="2" s="1"/>
  <c r="L173" i="2"/>
  <c r="N173" i="2"/>
  <c r="R173" i="2" s="1"/>
  <c r="L213" i="2"/>
  <c r="N213" i="2"/>
  <c r="R213" i="2" s="1"/>
  <c r="L122" i="2"/>
  <c r="N122" i="2"/>
  <c r="R122" i="2" s="1"/>
  <c r="H166" i="2"/>
  <c r="N154" i="2"/>
  <c r="R154" i="2" s="1"/>
  <c r="L174" i="2"/>
  <c r="N174" i="2"/>
  <c r="R174" i="2" s="1"/>
  <c r="L204" i="2"/>
  <c r="N204" i="2"/>
  <c r="R204" i="2" s="1"/>
  <c r="L188" i="2"/>
  <c r="N188" i="2"/>
  <c r="R188" i="2" s="1"/>
  <c r="L96" i="2"/>
  <c r="N96" i="2"/>
  <c r="R96" i="2" s="1"/>
  <c r="L106" i="2"/>
  <c r="N106" i="2"/>
  <c r="R106" i="2" s="1"/>
  <c r="L95" i="2"/>
  <c r="N95" i="2"/>
  <c r="R95" i="2" s="1"/>
  <c r="L107" i="2"/>
  <c r="N107" i="2"/>
  <c r="R107" i="2" s="1"/>
  <c r="L123" i="2"/>
  <c r="N123" i="2"/>
  <c r="R123" i="2" s="1"/>
  <c r="U123" i="2" s="1"/>
  <c r="L137" i="2"/>
  <c r="N137" i="2"/>
  <c r="R137" i="2" s="1"/>
  <c r="N101" i="2"/>
  <c r="R101" i="2" s="1"/>
  <c r="Y101" i="2"/>
  <c r="Z101" i="2" s="1"/>
  <c r="L189" i="2"/>
  <c r="N189" i="2"/>
  <c r="R189" i="2" s="1"/>
  <c r="N105" i="2"/>
  <c r="R105" i="2" s="1"/>
  <c r="Y105" i="2"/>
  <c r="Z105" i="2" s="1"/>
  <c r="R84" i="2"/>
  <c r="N100" i="2"/>
  <c r="R100" i="2" s="1"/>
  <c r="Y100" i="2"/>
  <c r="Z100" i="2" s="1"/>
  <c r="L210" i="2"/>
  <c r="N210" i="2"/>
  <c r="L85" i="2"/>
  <c r="N85" i="2"/>
  <c r="R85" i="2" s="1"/>
  <c r="L124" i="2"/>
  <c r="N124" i="2"/>
  <c r="R124" i="2" s="1"/>
  <c r="L158" i="2"/>
  <c r="R158" i="2"/>
  <c r="U158" i="2" s="1"/>
  <c r="L70" i="2"/>
  <c r="R70" i="2"/>
  <c r="U70" i="2" s="1"/>
  <c r="W70" i="2" s="1"/>
  <c r="N70" i="2"/>
  <c r="L63" i="2"/>
  <c r="R63" i="2"/>
  <c r="U63" i="2" s="1"/>
  <c r="N63" i="2"/>
  <c r="L77" i="2"/>
  <c r="R77" i="2"/>
  <c r="N77" i="2"/>
  <c r="L64" i="2"/>
  <c r="R64" i="2"/>
  <c r="U64" i="2" s="1"/>
  <c r="N64" i="2"/>
  <c r="L73" i="2"/>
  <c r="R73" i="2"/>
  <c r="U73" i="2" s="1"/>
  <c r="W73" i="2" s="1"/>
  <c r="N73" i="2"/>
  <c r="L65" i="2"/>
  <c r="R65" i="2"/>
  <c r="U65" i="2" s="1"/>
  <c r="W65" i="2" s="1"/>
  <c r="N65" i="2"/>
  <c r="L33" i="2"/>
  <c r="R33" i="2"/>
  <c r="N33" i="2"/>
  <c r="L66" i="2"/>
  <c r="R66" i="2"/>
  <c r="U66" i="2" s="1"/>
  <c r="W66" i="2" s="1"/>
  <c r="N66" i="2"/>
  <c r="L71" i="2"/>
  <c r="R71" i="2"/>
  <c r="U71" i="2" s="1"/>
  <c r="W71" i="2" s="1"/>
  <c r="N71" i="2"/>
  <c r="L32" i="2"/>
  <c r="R32" i="2"/>
  <c r="N32" i="2"/>
  <c r="L34" i="2"/>
  <c r="R34" i="2"/>
  <c r="N34" i="2"/>
  <c r="L67" i="2"/>
  <c r="R67" i="2"/>
  <c r="N67" i="2"/>
  <c r="L69" i="2"/>
  <c r="R69" i="2"/>
  <c r="U69" i="2" s="1"/>
  <c r="W69" i="2" s="1"/>
  <c r="N69" i="2"/>
  <c r="L103" i="2"/>
  <c r="Y23" i="2"/>
  <c r="Z23" i="2" s="1"/>
  <c r="N23" i="2"/>
  <c r="N28" i="2" s="1"/>
  <c r="L118" i="2"/>
  <c r="H179" i="2"/>
  <c r="L102" i="2"/>
  <c r="L119" i="2"/>
  <c r="J178" i="2"/>
  <c r="J121" i="2"/>
  <c r="J130" i="2"/>
  <c r="D114" i="2"/>
  <c r="H114" i="2" s="1"/>
  <c r="H164" i="2"/>
  <c r="H119" i="2"/>
  <c r="L105" i="2"/>
  <c r="H51" i="2"/>
  <c r="L74" i="2"/>
  <c r="M74" i="2"/>
  <c r="V74" i="2" s="1"/>
  <c r="L120" i="2"/>
  <c r="M120" i="2"/>
  <c r="L23" i="2"/>
  <c r="R23" i="2"/>
  <c r="L20" i="2"/>
  <c r="R20" i="2"/>
  <c r="J185" i="2"/>
  <c r="H217" i="2"/>
  <c r="L25" i="2"/>
  <c r="R25" i="2"/>
  <c r="J179" i="2"/>
  <c r="J207" i="2"/>
  <c r="L101" i="2"/>
  <c r="H180" i="2"/>
  <c r="L24" i="2"/>
  <c r="R24" i="2"/>
  <c r="L17" i="2"/>
  <c r="R17" i="2"/>
  <c r="L18" i="2"/>
  <c r="R18" i="2"/>
  <c r="L16" i="2"/>
  <c r="R16" i="2"/>
  <c r="J180" i="2"/>
  <c r="L26" i="2"/>
  <c r="R26" i="2"/>
  <c r="U26" i="2" s="1"/>
  <c r="W26" i="2" s="1"/>
  <c r="L19" i="2"/>
  <c r="R19" i="2"/>
  <c r="D112" i="2"/>
  <c r="H112" i="2" s="1"/>
  <c r="L13" i="2"/>
  <c r="R13" i="2"/>
  <c r="H174" i="2"/>
  <c r="H183" i="2"/>
  <c r="L14" i="2"/>
  <c r="R14" i="2"/>
  <c r="D142" i="2"/>
  <c r="H142" i="2" s="1"/>
  <c r="H143" i="2" s="1"/>
  <c r="J143" i="2" s="1"/>
  <c r="R143" i="2" s="1"/>
  <c r="U143" i="2" s="1"/>
  <c r="H184" i="2"/>
  <c r="L21" i="2"/>
  <c r="R21" i="2"/>
  <c r="L15" i="2"/>
  <c r="R15" i="2"/>
  <c r="J44" i="2"/>
  <c r="L44" i="2" s="1"/>
  <c r="J175" i="2"/>
  <c r="L201" i="2"/>
  <c r="L183" i="2"/>
  <c r="L54" i="2"/>
  <c r="J60" i="2"/>
  <c r="P257" i="2"/>
  <c r="P259" i="2" s="1"/>
  <c r="C239" i="2"/>
  <c r="H239" i="2" s="1"/>
  <c r="H241" i="2" s="1"/>
  <c r="J241" i="2" s="1"/>
  <c r="L84" i="2"/>
  <c r="D113" i="2"/>
  <c r="H113" i="2" s="1"/>
  <c r="L38" i="2"/>
  <c r="J41" i="2"/>
  <c r="H175" i="2"/>
  <c r="D127" i="2"/>
  <c r="H60" i="2"/>
  <c r="H118" i="2"/>
  <c r="J184" i="2"/>
  <c r="H41" i="2"/>
  <c r="L151" i="2"/>
  <c r="H178" i="2"/>
  <c r="H185" i="2"/>
  <c r="H122" i="2"/>
  <c r="H133" i="2"/>
  <c r="L154" i="2"/>
  <c r="M120" i="1"/>
  <c r="K121" i="1"/>
  <c r="M121" i="1" s="1"/>
  <c r="D122" i="1"/>
  <c r="D127" i="1" s="1"/>
  <c r="D142" i="1"/>
  <c r="U204" i="2" l="1"/>
  <c r="W204" i="2" s="1"/>
  <c r="T204" i="2"/>
  <c r="U174" i="2"/>
  <c r="T174" i="2"/>
  <c r="U154" i="2"/>
  <c r="W154" i="2" s="1"/>
  <c r="T154" i="2"/>
  <c r="U148" i="2"/>
  <c r="T148" i="2"/>
  <c r="U248" i="2"/>
  <c r="T248" i="2"/>
  <c r="R210" i="2"/>
  <c r="U210" i="2" s="1"/>
  <c r="S210" i="2"/>
  <c r="U189" i="2"/>
  <c r="W189" i="2" s="1"/>
  <c r="T189" i="2"/>
  <c r="R236" i="2"/>
  <c r="U201" i="2"/>
  <c r="T201" i="2"/>
  <c r="U245" i="2"/>
  <c r="T245" i="2"/>
  <c r="L236" i="2"/>
  <c r="L250" i="2" s="1"/>
  <c r="U213" i="2"/>
  <c r="T213" i="2"/>
  <c r="L241" i="2"/>
  <c r="N241" i="2"/>
  <c r="R241" i="2" s="1"/>
  <c r="X74" i="2"/>
  <c r="W74" i="2"/>
  <c r="U151" i="2"/>
  <c r="W151" i="2" s="1"/>
  <c r="T151" i="2"/>
  <c r="U137" i="2"/>
  <c r="W137" i="2" s="1"/>
  <c r="T137" i="2"/>
  <c r="U188" i="2"/>
  <c r="T188" i="2"/>
  <c r="U173" i="2"/>
  <c r="T173" i="2"/>
  <c r="U86" i="2"/>
  <c r="W86" i="2" s="1"/>
  <c r="T86" i="2"/>
  <c r="N120" i="2"/>
  <c r="R120" i="2" s="1"/>
  <c r="Y120" i="2"/>
  <c r="Z120" i="2" s="1"/>
  <c r="U124" i="2"/>
  <c r="W124" i="2" s="1"/>
  <c r="T124" i="2"/>
  <c r="U106" i="2"/>
  <c r="W106" i="2" s="1"/>
  <c r="T106" i="2"/>
  <c r="U122" i="2"/>
  <c r="W122" i="2" s="1"/>
  <c r="T122" i="2"/>
  <c r="U105" i="2"/>
  <c r="W105" i="2" s="1"/>
  <c r="T105" i="2"/>
  <c r="L180" i="2"/>
  <c r="N180" i="2"/>
  <c r="R180" i="2" s="1"/>
  <c r="U101" i="2"/>
  <c r="W101" i="2" s="1"/>
  <c r="T101" i="2"/>
  <c r="H218" i="2"/>
  <c r="H220" i="2" s="1"/>
  <c r="J220" i="2" s="1"/>
  <c r="N207" i="2"/>
  <c r="R207" i="2" s="1"/>
  <c r="U103" i="2"/>
  <c r="W103" i="2" s="1"/>
  <c r="T103" i="2"/>
  <c r="U119" i="2"/>
  <c r="W119" i="2" s="1"/>
  <c r="T119" i="2"/>
  <c r="L184" i="2"/>
  <c r="N184" i="2"/>
  <c r="R184" i="2" s="1"/>
  <c r="U133" i="2"/>
  <c r="W133" i="2" s="1"/>
  <c r="T133" i="2"/>
  <c r="U93" i="2"/>
  <c r="W93" i="2" s="1"/>
  <c r="T93" i="2"/>
  <c r="U125" i="2"/>
  <c r="W125" i="2" s="1"/>
  <c r="T125" i="2"/>
  <c r="U96" i="2"/>
  <c r="W96" i="2" s="1"/>
  <c r="T96" i="2"/>
  <c r="U85" i="2"/>
  <c r="W85" i="2" s="1"/>
  <c r="T85" i="2"/>
  <c r="T87" i="2" s="1"/>
  <c r="U104" i="2"/>
  <c r="W104" i="2" s="1"/>
  <c r="T104" i="2"/>
  <c r="U88" i="2"/>
  <c r="W88" i="2" s="1"/>
  <c r="T88" i="2"/>
  <c r="L178" i="2"/>
  <c r="N178" i="2"/>
  <c r="R178" i="2" s="1"/>
  <c r="R225" i="2"/>
  <c r="N226" i="2"/>
  <c r="L179" i="2"/>
  <c r="N179" i="2"/>
  <c r="R179" i="2" s="1"/>
  <c r="L175" i="2"/>
  <c r="N175" i="2"/>
  <c r="R175" i="2" s="1"/>
  <c r="U107" i="2"/>
  <c r="W107" i="2" s="1"/>
  <c r="T107" i="2"/>
  <c r="U89" i="2"/>
  <c r="W89" i="2" s="1"/>
  <c r="T89" i="2"/>
  <c r="U126" i="2"/>
  <c r="W126" i="2" s="1"/>
  <c r="T126" i="2"/>
  <c r="L185" i="2"/>
  <c r="N185" i="2"/>
  <c r="R185" i="2" s="1"/>
  <c r="U94" i="2"/>
  <c r="W94" i="2" s="1"/>
  <c r="T94" i="2"/>
  <c r="L130" i="2"/>
  <c r="N130" i="2"/>
  <c r="R130" i="2" s="1"/>
  <c r="U84" i="2"/>
  <c r="W84" i="2" s="1"/>
  <c r="T84" i="2"/>
  <c r="H168" i="2"/>
  <c r="J168" i="2" s="1"/>
  <c r="U100" i="2"/>
  <c r="W100" i="2" s="1"/>
  <c r="T100" i="2"/>
  <c r="L121" i="2"/>
  <c r="N121" i="2"/>
  <c r="R121" i="2" s="1"/>
  <c r="U95" i="2"/>
  <c r="W95" i="2" s="1"/>
  <c r="T95" i="2"/>
  <c r="U102" i="2"/>
  <c r="W102" i="2" s="1"/>
  <c r="T102" i="2"/>
  <c r="U118" i="2"/>
  <c r="W118" i="2" s="1"/>
  <c r="T118" i="2"/>
  <c r="U67" i="2"/>
  <c r="W67" i="2" s="1"/>
  <c r="T67" i="2"/>
  <c r="N74" i="2"/>
  <c r="Y74" i="2"/>
  <c r="Z74" i="2" s="1"/>
  <c r="T33" i="2"/>
  <c r="U33" i="2"/>
  <c r="U34" i="2"/>
  <c r="T34" i="2"/>
  <c r="L60" i="2"/>
  <c r="R60" i="2"/>
  <c r="N60" i="2"/>
  <c r="T32" i="2"/>
  <c r="U32" i="2"/>
  <c r="U77" i="2"/>
  <c r="W77" i="2" s="1"/>
  <c r="T77" i="2"/>
  <c r="L41" i="2"/>
  <c r="R41" i="2"/>
  <c r="N41" i="2"/>
  <c r="H194" i="2"/>
  <c r="L28" i="2"/>
  <c r="U24" i="2"/>
  <c r="W24" i="2" s="1"/>
  <c r="T24" i="2"/>
  <c r="U25" i="2"/>
  <c r="W25" i="2" s="1"/>
  <c r="T25" i="2"/>
  <c r="U15" i="2"/>
  <c r="T15" i="2"/>
  <c r="U19" i="2"/>
  <c r="T19" i="2"/>
  <c r="U23" i="2"/>
  <c r="W23" i="2" s="1"/>
  <c r="T23" i="2"/>
  <c r="U21" i="2"/>
  <c r="T21" i="2"/>
  <c r="U17" i="2"/>
  <c r="T17" i="2"/>
  <c r="U20" i="2"/>
  <c r="T20" i="2"/>
  <c r="U18" i="2"/>
  <c r="T18" i="2"/>
  <c r="U13" i="2"/>
  <c r="T13" i="2"/>
  <c r="U14" i="2"/>
  <c r="T14" i="2"/>
  <c r="U16" i="2"/>
  <c r="T16" i="2"/>
  <c r="H192" i="2"/>
  <c r="H115" i="2"/>
  <c r="J115" i="2" s="1"/>
  <c r="J51" i="2"/>
  <c r="H193" i="2"/>
  <c r="L207" i="2"/>
  <c r="J127" i="2"/>
  <c r="H127" i="2"/>
  <c r="H158" i="1"/>
  <c r="K158" i="1"/>
  <c r="M158" i="1" s="1"/>
  <c r="H241" i="1"/>
  <c r="X210" i="2" l="1"/>
  <c r="Y210" i="2" s="1"/>
  <c r="Z210" i="2" s="1"/>
  <c r="T210" i="2"/>
  <c r="U175" i="2"/>
  <c r="T175" i="2"/>
  <c r="U179" i="2"/>
  <c r="W179" i="2" s="1"/>
  <c r="T179" i="2"/>
  <c r="U185" i="2"/>
  <c r="W185" i="2" s="1"/>
  <c r="T185" i="2"/>
  <c r="U207" i="2"/>
  <c r="W207" i="2" s="1"/>
  <c r="T207" i="2"/>
  <c r="U236" i="2"/>
  <c r="T236" i="2"/>
  <c r="T250" i="2" s="1"/>
  <c r="AA250" i="2" s="1"/>
  <c r="AB250" i="2" s="1"/>
  <c r="AC250" i="2" s="1"/>
  <c r="U225" i="2"/>
  <c r="T225" i="2"/>
  <c r="T226" i="2" s="1"/>
  <c r="AA226" i="2" s="1"/>
  <c r="AB226" i="2" s="1"/>
  <c r="AC226" i="2" s="1"/>
  <c r="U178" i="2"/>
  <c r="W178" i="2" s="1"/>
  <c r="T178" i="2"/>
  <c r="N250" i="2"/>
  <c r="U184" i="2"/>
  <c r="W184" i="2" s="1"/>
  <c r="T184" i="2"/>
  <c r="U180" i="2"/>
  <c r="W180" i="2" s="1"/>
  <c r="T180" i="2"/>
  <c r="U241" i="2"/>
  <c r="T241" i="2"/>
  <c r="L220" i="2"/>
  <c r="N220" i="2"/>
  <c r="R220" i="2" s="1"/>
  <c r="U130" i="2"/>
  <c r="W130" i="2" s="1"/>
  <c r="T130" i="2"/>
  <c r="L127" i="2"/>
  <c r="N127" i="2"/>
  <c r="R127" i="2" s="1"/>
  <c r="L115" i="2"/>
  <c r="N115" i="2"/>
  <c r="L168" i="2"/>
  <c r="N168" i="2"/>
  <c r="R168" i="2" s="1"/>
  <c r="U120" i="2"/>
  <c r="W120" i="2" s="1"/>
  <c r="T120" i="2"/>
  <c r="U121" i="2"/>
  <c r="W121" i="2" s="1"/>
  <c r="T121" i="2"/>
  <c r="T60" i="2"/>
  <c r="U60" i="2"/>
  <c r="W60" i="2" s="1"/>
  <c r="U41" i="2"/>
  <c r="W41" i="2" s="1"/>
  <c r="T41" i="2"/>
  <c r="L51" i="2"/>
  <c r="L79" i="2" s="1"/>
  <c r="R51" i="2"/>
  <c r="N51" i="2"/>
  <c r="N79" i="2" s="1"/>
  <c r="W28" i="2"/>
  <c r="T28" i="2"/>
  <c r="AA28" i="2" s="1"/>
  <c r="AB28" i="2" s="1"/>
  <c r="AC28" i="2" s="1"/>
  <c r="H196" i="2"/>
  <c r="J196" i="2" s="1"/>
  <c r="H34" i="1"/>
  <c r="H33" i="1"/>
  <c r="H226" i="1"/>
  <c r="U168" i="2" l="1"/>
  <c r="T168" i="2"/>
  <c r="U220" i="2"/>
  <c r="T220" i="2"/>
  <c r="R115" i="2"/>
  <c r="U127" i="2"/>
  <c r="W127" i="2" s="1"/>
  <c r="W222" i="2" s="1"/>
  <c r="T127" i="2"/>
  <c r="L196" i="2"/>
  <c r="L228" i="2" s="1"/>
  <c r="N196" i="2"/>
  <c r="R196" i="2" s="1"/>
  <c r="T51" i="2"/>
  <c r="T79" i="2" s="1"/>
  <c r="U51" i="2"/>
  <c r="W51" i="2" s="1"/>
  <c r="W79" i="2" s="1"/>
  <c r="D104" i="1"/>
  <c r="D103" i="1"/>
  <c r="D102" i="1"/>
  <c r="D101" i="1"/>
  <c r="D111" i="1"/>
  <c r="D107" i="1"/>
  <c r="D84" i="1"/>
  <c r="C195" i="1"/>
  <c r="H139" i="1"/>
  <c r="K139" i="1"/>
  <c r="F64" i="1"/>
  <c r="D19" i="1"/>
  <c r="H19" i="1" s="1"/>
  <c r="K19" i="1" s="1"/>
  <c r="M19" i="1" s="1"/>
  <c r="H26" i="1"/>
  <c r="K26" i="1" s="1"/>
  <c r="M26" i="1" s="1"/>
  <c r="H20" i="1"/>
  <c r="K20" i="1" s="1"/>
  <c r="M20" i="1" s="1"/>
  <c r="H21" i="1"/>
  <c r="K21" i="1" s="1"/>
  <c r="M21" i="1" s="1"/>
  <c r="H25" i="1"/>
  <c r="K25" i="1" s="1"/>
  <c r="M25" i="1" s="1"/>
  <c r="H24" i="1"/>
  <c r="K24" i="1" s="1"/>
  <c r="M24" i="1" s="1"/>
  <c r="H23" i="1"/>
  <c r="K23" i="1" s="1"/>
  <c r="M23" i="1" s="1"/>
  <c r="H18" i="1"/>
  <c r="K18" i="1" s="1"/>
  <c r="M18" i="1" s="1"/>
  <c r="H17" i="1"/>
  <c r="K17" i="1" s="1"/>
  <c r="M17" i="1" s="1"/>
  <c r="H16" i="1"/>
  <c r="K16" i="1" s="1"/>
  <c r="M16" i="1" s="1"/>
  <c r="H15" i="1"/>
  <c r="K15" i="1" s="1"/>
  <c r="M15" i="1" s="1"/>
  <c r="H14" i="1"/>
  <c r="K14" i="1" s="1"/>
  <c r="M14" i="1" s="1"/>
  <c r="H13" i="1"/>
  <c r="K13" i="1" s="1"/>
  <c r="M13" i="1" s="1"/>
  <c r="K226" i="1"/>
  <c r="M226" i="1" s="1"/>
  <c r="M227" i="1" s="1"/>
  <c r="L251" i="2" l="1"/>
  <c r="L253" i="2" s="1"/>
  <c r="L255" i="2" s="1"/>
  <c r="L257" i="2" s="1"/>
  <c r="L259" i="2" s="1"/>
  <c r="L261" i="2" s="1"/>
  <c r="U196" i="2"/>
  <c r="T196" i="2"/>
  <c r="W228" i="2"/>
  <c r="AA79" i="2"/>
  <c r="U115" i="2"/>
  <c r="T115" i="2"/>
  <c r="T222" i="2" s="1"/>
  <c r="AA222" i="2" s="1"/>
  <c r="D112" i="1"/>
  <c r="M74" i="1"/>
  <c r="H219" i="1"/>
  <c r="H77" i="1"/>
  <c r="K77" i="1" s="1"/>
  <c r="M77" i="1" s="1"/>
  <c r="N228" i="2" l="1"/>
  <c r="N251" i="2" s="1"/>
  <c r="AB251" i="2" s="1"/>
  <c r="AC251" i="2" s="1"/>
  <c r="AB222" i="2"/>
  <c r="AC222" i="2" s="1"/>
  <c r="T228" i="2"/>
  <c r="AB79" i="2"/>
  <c r="AC79" i="2" s="1"/>
  <c r="AA228" i="2"/>
  <c r="AB228" i="2" s="1"/>
  <c r="AC228" i="2" s="1"/>
  <c r="K201" i="1"/>
  <c r="M201" i="1" s="1"/>
  <c r="H201" i="1"/>
  <c r="F207" i="1"/>
  <c r="K207" i="1" s="1"/>
  <c r="M207" i="1" s="1"/>
  <c r="K204" i="1"/>
  <c r="M204" i="1" s="1"/>
  <c r="H204" i="1"/>
  <c r="K213" i="1"/>
  <c r="M213" i="1" s="1"/>
  <c r="H213" i="1"/>
  <c r="K211" i="1"/>
  <c r="M211" i="1" s="1"/>
  <c r="H211" i="1"/>
  <c r="K210" i="1"/>
  <c r="M210" i="1" s="1"/>
  <c r="H210" i="1"/>
  <c r="H218" i="1" l="1"/>
  <c r="H216" i="1"/>
  <c r="H217" i="1"/>
  <c r="H207" i="1"/>
  <c r="H220" i="1" l="1"/>
  <c r="K220" i="1" s="1"/>
  <c r="M220" i="1" s="1"/>
  <c r="H111" i="1" l="1"/>
  <c r="H104" i="1"/>
  <c r="K104" i="1" s="1"/>
  <c r="M104" i="1" s="1"/>
  <c r="H195" i="1"/>
  <c r="E185" i="1"/>
  <c r="D185" i="1"/>
  <c r="E184" i="1"/>
  <c r="D184" i="1"/>
  <c r="E183" i="1"/>
  <c r="D183" i="1"/>
  <c r="E180" i="1"/>
  <c r="E179" i="1"/>
  <c r="D180" i="1"/>
  <c r="D179" i="1"/>
  <c r="E178" i="1"/>
  <c r="D178" i="1"/>
  <c r="E175" i="1"/>
  <c r="D175" i="1"/>
  <c r="E174" i="1"/>
  <c r="D174" i="1"/>
  <c r="K173" i="1"/>
  <c r="M173" i="1" s="1"/>
  <c r="H173" i="1"/>
  <c r="K189" i="1"/>
  <c r="M189" i="1" s="1"/>
  <c r="H189" i="1"/>
  <c r="K188" i="1"/>
  <c r="M188" i="1" s="1"/>
  <c r="H188" i="1"/>
  <c r="H167" i="1"/>
  <c r="D114" i="1" l="1"/>
  <c r="H114" i="1" s="1"/>
  <c r="H112" i="1"/>
  <c r="H180" i="1"/>
  <c r="H179" i="1"/>
  <c r="K185" i="1"/>
  <c r="M185" i="1" s="1"/>
  <c r="K175" i="1"/>
  <c r="M175" i="1" s="1"/>
  <c r="K184" i="1"/>
  <c r="M184" i="1" s="1"/>
  <c r="K178" i="1"/>
  <c r="K183" i="1"/>
  <c r="K179" i="1"/>
  <c r="M179" i="1" s="1"/>
  <c r="H183" i="1"/>
  <c r="H184" i="1"/>
  <c r="H178" i="1"/>
  <c r="K174" i="1"/>
  <c r="M174" i="1" s="1"/>
  <c r="K180" i="1"/>
  <c r="M180" i="1" s="1"/>
  <c r="H185" i="1"/>
  <c r="H174" i="1"/>
  <c r="H175" i="1"/>
  <c r="M178" i="1" l="1"/>
  <c r="H193" i="1"/>
  <c r="M183" i="1"/>
  <c r="H194" i="1"/>
  <c r="H192" i="1"/>
  <c r="H196" i="1" l="1"/>
  <c r="K196" i="1" s="1"/>
  <c r="M196" i="1" s="1"/>
  <c r="K161" i="1" l="1"/>
  <c r="M161" i="1" s="1"/>
  <c r="H161" i="1"/>
  <c r="K159" i="1"/>
  <c r="H159" i="1"/>
  <c r="K157" i="1"/>
  <c r="H157" i="1"/>
  <c r="K154" i="1"/>
  <c r="H154" i="1"/>
  <c r="K151" i="1"/>
  <c r="H151" i="1"/>
  <c r="K148" i="1"/>
  <c r="H148" i="1"/>
  <c r="M148" i="1" l="1"/>
  <c r="H164" i="1"/>
  <c r="M151" i="1"/>
  <c r="H165" i="1"/>
  <c r="M154" i="1"/>
  <c r="H166" i="1"/>
  <c r="F65" i="1"/>
  <c r="F60" i="1"/>
  <c r="F41" i="1"/>
  <c r="F51" i="1"/>
  <c r="H59" i="1"/>
  <c r="K59" i="1" s="1"/>
  <c r="M59" i="1" s="1"/>
  <c r="H58" i="1"/>
  <c r="K58" i="1" s="1"/>
  <c r="M58" i="1" s="1"/>
  <c r="K34" i="1"/>
  <c r="M34" i="1" s="1"/>
  <c r="H50" i="1"/>
  <c r="K50" i="1" s="1"/>
  <c r="M50" i="1" s="1"/>
  <c r="K33" i="1"/>
  <c r="H32" i="1"/>
  <c r="K32" i="1" s="1"/>
  <c r="H168" i="1" l="1"/>
  <c r="K168" i="1" s="1"/>
  <c r="M168" i="1" s="1"/>
  <c r="H107" i="1" l="1"/>
  <c r="K107" i="1" s="1"/>
  <c r="M107" i="1" s="1"/>
  <c r="H106" i="1"/>
  <c r="K106" i="1" s="1"/>
  <c r="M106" i="1" s="1"/>
  <c r="H105" i="1"/>
  <c r="K105" i="1" s="1"/>
  <c r="M105" i="1" s="1"/>
  <c r="H103" i="1"/>
  <c r="K103" i="1" s="1"/>
  <c r="M103" i="1" s="1"/>
  <c r="H102" i="1"/>
  <c r="K102" i="1" s="1"/>
  <c r="M102" i="1" s="1"/>
  <c r="H101" i="1"/>
  <c r="K101" i="1" s="1"/>
  <c r="M101" i="1" s="1"/>
  <c r="H100" i="1"/>
  <c r="K100" i="1" s="1"/>
  <c r="M100" i="1" s="1"/>
  <c r="H95" i="1"/>
  <c r="K95" i="1" s="1"/>
  <c r="M95" i="1" s="1"/>
  <c r="H93" i="1"/>
  <c r="K93" i="1" s="1"/>
  <c r="M93" i="1" s="1"/>
  <c r="H94" i="1"/>
  <c r="K94" i="1" s="1"/>
  <c r="H96" i="1"/>
  <c r="K96" i="1" s="1"/>
  <c r="H88" i="1"/>
  <c r="K88" i="1" s="1"/>
  <c r="M88" i="1" s="1"/>
  <c r="H85" i="1" l="1"/>
  <c r="K85" i="1" s="1"/>
  <c r="H86" i="1"/>
  <c r="K86" i="1" s="1"/>
  <c r="H87" i="1"/>
  <c r="K87" i="1" s="1"/>
  <c r="H89" i="1"/>
  <c r="K89" i="1" s="1"/>
  <c r="K249" i="1"/>
  <c r="H84" i="1" l="1"/>
  <c r="K84" i="1" s="1"/>
  <c r="H236" i="1"/>
  <c r="K236" i="1" s="1"/>
  <c r="H235" i="1"/>
  <c r="K235" i="1" s="1"/>
  <c r="H245" i="1"/>
  <c r="H138" i="1"/>
  <c r="K138" i="1"/>
  <c r="K137" i="1"/>
  <c r="M137" i="1" s="1"/>
  <c r="H134" i="1"/>
  <c r="K134" i="1"/>
  <c r="K133" i="1"/>
  <c r="M133" i="1" s="1"/>
  <c r="H71" i="1"/>
  <c r="H70" i="1"/>
  <c r="H123" i="1"/>
  <c r="H124" i="1"/>
  <c r="H125" i="1"/>
  <c r="H126" i="1"/>
  <c r="K126" i="1"/>
  <c r="M126" i="1" s="1"/>
  <c r="K125" i="1"/>
  <c r="M125" i="1" s="1"/>
  <c r="K124" i="1"/>
  <c r="M124" i="1" s="1"/>
  <c r="H118" i="1"/>
  <c r="D113" i="1" l="1"/>
  <c r="H113" i="1" s="1"/>
  <c r="H115" i="1" s="1"/>
  <c r="K237" i="1"/>
  <c r="H122" i="1"/>
  <c r="K130" i="1"/>
  <c r="M130" i="1" s="1"/>
  <c r="H137" i="1"/>
  <c r="H133" i="1"/>
  <c r="H130" i="1"/>
  <c r="K118" i="1"/>
  <c r="M118" i="1" s="1"/>
  <c r="K122" i="1"/>
  <c r="M122" i="1" s="1"/>
  <c r="K123" i="1"/>
  <c r="M123" i="1" s="1"/>
  <c r="H69" i="1"/>
  <c r="M33" i="1"/>
  <c r="M32" i="1"/>
  <c r="M237" i="1" l="1"/>
  <c r="C240" i="1"/>
  <c r="H240" i="1" s="1"/>
  <c r="H242" i="1" s="1"/>
  <c r="K242" i="1" s="1"/>
  <c r="M242" i="1" s="1"/>
  <c r="K127" i="1"/>
  <c r="M127" i="1" s="1"/>
  <c r="H127" i="1"/>
  <c r="K71" i="1"/>
  <c r="M71" i="1" s="1"/>
  <c r="K70" i="1"/>
  <c r="M70" i="1" s="1"/>
  <c r="K69" i="1"/>
  <c r="M69" i="1" s="1"/>
  <c r="H74" i="1"/>
  <c r="H73" i="1"/>
  <c r="K73" i="1" s="1"/>
  <c r="M73" i="1" s="1"/>
  <c r="F67" i="1"/>
  <c r="H67" i="1" s="1"/>
  <c r="K67" i="1" s="1"/>
  <c r="M67" i="1" s="1"/>
  <c r="F66" i="1"/>
  <c r="H66" i="1" s="1"/>
  <c r="K66" i="1" s="1"/>
  <c r="M66" i="1" s="1"/>
  <c r="H65" i="1"/>
  <c r="K65" i="1" s="1"/>
  <c r="M65" i="1" s="1"/>
  <c r="H64" i="1"/>
  <c r="K64" i="1" s="1"/>
  <c r="M64" i="1" s="1"/>
  <c r="H57" i="1"/>
  <c r="K57" i="1" s="1"/>
  <c r="M57" i="1" s="1"/>
  <c r="H55" i="1"/>
  <c r="K55" i="1" s="1"/>
  <c r="M55" i="1" s="1"/>
  <c r="H56" i="1"/>
  <c r="K56" i="1" s="1"/>
  <c r="M56" i="1" s="1"/>
  <c r="H54" i="1"/>
  <c r="H45" i="1"/>
  <c r="K45" i="1" s="1"/>
  <c r="M45" i="1" s="1"/>
  <c r="H46" i="1"/>
  <c r="K46" i="1" s="1"/>
  <c r="M46" i="1" s="1"/>
  <c r="H47" i="1"/>
  <c r="K47" i="1" s="1"/>
  <c r="M47" i="1" s="1"/>
  <c r="H48" i="1"/>
  <c r="K48" i="1" s="1"/>
  <c r="M48" i="1" s="1"/>
  <c r="H49" i="1"/>
  <c r="K49" i="1" s="1"/>
  <c r="M49" i="1" s="1"/>
  <c r="H44" i="1"/>
  <c r="H40" i="1"/>
  <c r="K40" i="1" s="1"/>
  <c r="M40" i="1" s="1"/>
  <c r="H39" i="1"/>
  <c r="H38" i="1"/>
  <c r="H41" i="1" l="1"/>
  <c r="H60" i="1"/>
  <c r="H51" i="1"/>
  <c r="K54" i="1"/>
  <c r="K38" i="1"/>
  <c r="M38" i="1" s="1"/>
  <c r="K44" i="1"/>
  <c r="K51" i="1" s="1"/>
  <c r="K39" i="1"/>
  <c r="M39" i="1" s="1"/>
  <c r="H63" i="1"/>
  <c r="K63" i="1" s="1"/>
  <c r="M63" i="1" s="1"/>
  <c r="M87" i="1"/>
  <c r="K60" i="1" l="1"/>
  <c r="M60" i="1" s="1"/>
  <c r="M54" i="1"/>
  <c r="M44" i="1"/>
  <c r="M51" i="1"/>
  <c r="K41" i="1"/>
  <c r="M41" i="1" s="1"/>
  <c r="M96" i="1"/>
  <c r="M94" i="1"/>
  <c r="M89" i="1"/>
  <c r="M86" i="1"/>
  <c r="M85" i="1"/>
  <c r="M84" i="1"/>
  <c r="K115" i="1" l="1"/>
  <c r="M115" i="1" s="1"/>
  <c r="M249" i="1" l="1"/>
  <c r="K245" i="1"/>
  <c r="K246" i="1" l="1"/>
  <c r="M246" i="1" s="1"/>
  <c r="M251" i="1" s="1"/>
  <c r="M260" i="1" s="1"/>
  <c r="M262" i="1" s="1"/>
  <c r="H142" i="1" l="1"/>
  <c r="H143" i="1" l="1"/>
  <c r="K143" i="1" s="1"/>
</calcChain>
</file>

<file path=xl/sharedStrings.xml><?xml version="1.0" encoding="utf-8"?>
<sst xmlns="http://schemas.openxmlformats.org/spreadsheetml/2006/main" count="836" uniqueCount="240">
  <si>
    <t>data:</t>
  </si>
  <si>
    <t>CLIENTE:</t>
  </si>
  <si>
    <t>PROLOGIS</t>
  </si>
  <si>
    <t>LUOGO:</t>
  </si>
  <si>
    <t>MILANO</t>
  </si>
  <si>
    <t>APPALTO:</t>
  </si>
  <si>
    <t xml:space="preserve">MOVIMENTI TERRA - FOGNATURE - PIAZZALI E STRADE </t>
  </si>
  <si>
    <t>CODICE</t>
  </si>
  <si>
    <t>ARTICOLI</t>
  </si>
  <si>
    <t>LUNGH.</t>
  </si>
  <si>
    <t>LARGH.</t>
  </si>
  <si>
    <t>SUPERFICIE</t>
  </si>
  <si>
    <t>PESO / H</t>
  </si>
  <si>
    <t>CUBO</t>
  </si>
  <si>
    <t>U</t>
  </si>
  <si>
    <t>QUANTITA'</t>
  </si>
  <si>
    <t>PREZZO</t>
  </si>
  <si>
    <t>TOTALE</t>
  </si>
  <si>
    <t>cad</t>
  </si>
  <si>
    <t>ml</t>
  </si>
  <si>
    <t>mq</t>
  </si>
  <si>
    <t>kg/ml</t>
  </si>
  <si>
    <t>mc</t>
  </si>
  <si>
    <t>-</t>
  </si>
  <si>
    <t>[EUR/U.M.]</t>
  </si>
  <si>
    <t>[EUR]</t>
  </si>
  <si>
    <t>E-1</t>
  </si>
  <si>
    <t>SCAVI E REINTERRI</t>
  </si>
  <si>
    <t>SCOTICO TERRA VEGETALE (reimpiego entro le aree di cantiere) (sp. cm.10)</t>
  </si>
  <si>
    <t xml:space="preserve">SCAVO DI SBANCAMENTO aree </t>
  </si>
  <si>
    <t>a corpo</t>
  </si>
  <si>
    <t>TRATTAMENTO CALCE/CEMENTO - riferimento tavola A05</t>
  </si>
  <si>
    <t>Per il trattamento a calce verrà fornito il terreno dalla committenza, considerare trasporto, calce e lavorazione</t>
  </si>
  <si>
    <t>TRATTAMENTO A CALCE - PIAZZALI IN CEMENTO</t>
  </si>
  <si>
    <t xml:space="preserve">TRATTAMENTO A CALCE - STRADE E PARCHEGGI </t>
  </si>
  <si>
    <t>TRATTAMENTO A CALCE - ZONA MAGAZZINO E UFFICI</t>
  </si>
  <si>
    <t>Totale trattamento a calce</t>
  </si>
  <si>
    <t>RIEMPIMENTO CON RICICLATO - riferimento tavola A06</t>
  </si>
  <si>
    <t>RIMEPIMENTO CON RICICLATO - PIAZZALI IN CEMENTO</t>
  </si>
  <si>
    <t>RIMEPIMENTO CON RICICLATO - STRADE E PIAZZALI IN ASFALTO</t>
  </si>
  <si>
    <t>RIEMPIMENTO CON RICICLATO - AREA PARCHEGGI AUTOBLOCCANTI DRENANTI</t>
  </si>
  <si>
    <t>RIEMPIMENTO CON RICICLATO - AREA PALAZZINA UFFICI</t>
  </si>
  <si>
    <t>RIEMPIMENTO CON RICICLATO - AREA CAMMINAMENTI PEDONALI</t>
  </si>
  <si>
    <t>RIEMPIMENTO CON RICICLATO - AREA MAGAZZINO</t>
  </si>
  <si>
    <t>RIEMPIMENTO CON RICICLATO - STRADA STERRATA</t>
  </si>
  <si>
    <t>Totale riempimento con riciclato</t>
  </si>
  <si>
    <t>RIEMPIMENTO CON STABILIZZATO - riferimento tavola A07</t>
  </si>
  <si>
    <t>RIEMPIMENTO CON STABILIZZATO - PIAZZALI IN CEMENTO</t>
  </si>
  <si>
    <t>RIEMPIMENTO CON STABILIZZATO - STRADE E PIAZZALI IN ASFALTO</t>
  </si>
  <si>
    <t>RIEMPIMENTO CON STABILIZZATO - AREA PARCHEGGI CON AUTOBLOCCANTI DRENANTI</t>
  </si>
  <si>
    <t>RIEMPIMENTO CON STABILIZZATO - AREA CAMMINAMENTI PEDONALI</t>
  </si>
  <si>
    <t>RIEMPIMENTO CON STABILIZZATO - AREA MAGAZZINO</t>
  </si>
  <si>
    <t>RIEMPIMENTO CON STABILIZZATO - STRADA STERRATA</t>
  </si>
  <si>
    <t>Totale riempimento con stabilizzato</t>
  </si>
  <si>
    <t>PAVIMENTAZIONI ESTERNE - riferimento tavola A08</t>
  </si>
  <si>
    <t>STRADE E PIAZZALI IN ASFALTO - TAPPETO DI USURA - spessore 4 cm</t>
  </si>
  <si>
    <t>STRADE E PIAZZALI IN ASFALTO - BINDER - spessore 10 cm</t>
  </si>
  <si>
    <t>PARCHEGGI - AUTOBLOCCANTI DRENANTI - spessore 10 cm + PIETRISCHETTO spessore 4 cm</t>
  </si>
  <si>
    <t>CAMMINAMENTI PEDONALI - AUTOBLOCCANTI DRENANTI - spessore 6 cm + LETTO DI SABBIA - spessore 4 cm e TESSUTO NON TESSUTO 300 gr/mq</t>
  </si>
  <si>
    <t>CAMMINAMENTI PEDONALI - MASSETTO IN C.A. ARMATO CON RETE Ø8/20x20- spessore 10 cm</t>
  </si>
  <si>
    <t>CORDOLI RASO AUTO - FORNITURA E POSA</t>
  </si>
  <si>
    <t>CORDOLI IN CEMENTO H 25 - FORNITURA E POSA</t>
  </si>
  <si>
    <t>CORDOLI IN CEMENTO H 45 - FORNITURA E POSA</t>
  </si>
  <si>
    <t>TRACCIAMENTO SEGNALETICA ORIZZONTALE - MATERIALE E MANO D'OPERA</t>
  </si>
  <si>
    <t>FORNITURA E POSA SEGNALETICA VERTICALE</t>
  </si>
  <si>
    <t>TOTALE SCAVI E RINTERRI</t>
  </si>
  <si>
    <t>E-2</t>
  </si>
  <si>
    <t>OPERE ESTERNE E RETI INTERRATE</t>
  </si>
  <si>
    <t>RETE ACQUE NERE - scavi + fornitura tubazioni, pozzetti, griglia etc+ posa  + rinterro</t>
  </si>
  <si>
    <t>TUBAZIONE PVC SN4 Ø 200</t>
  </si>
  <si>
    <t>POZZETTO CON CHIUSINO 60 X 60 cm</t>
  </si>
  <si>
    <t>POZZETTO CON SIFONE FIRENZE Ø 200</t>
  </si>
  <si>
    <t>POZZETTO DI CONSEGNA</t>
  </si>
  <si>
    <t>TOTALE RETE ACQUE NERE</t>
  </si>
  <si>
    <t>RETE ACQUE BIANCHE COPERTURA - scavi + fornitura tubazioni, pozzetti, griglia etc+ posa + rinterro</t>
  </si>
  <si>
    <t>TUBAZIONE PVC Ø400</t>
  </si>
  <si>
    <t>ALLACCIAMENTO</t>
  </si>
  <si>
    <t>TOTALE RETE ACQUE BIANCHE</t>
  </si>
  <si>
    <t>RETE ACQUE DI PIAZZALE -  scavi+fornitura tubazioni, pozzetti, griglia etc+ posa+rinterro</t>
  </si>
  <si>
    <t>TUBAZIONE PE CORR. Ø 250</t>
  </si>
  <si>
    <t>TUBAZIONE PE CORR. Ø 315</t>
  </si>
  <si>
    <t>TUBAZIONE PE CORR. Ø 400</t>
  </si>
  <si>
    <t>CADITOIE CON GRIGLIA 50 x 50 cm comprensivi di prolunghe dove necessario</t>
  </si>
  <si>
    <t>FORNITURA E POSA GRIGLIE LATO BAIE</t>
  </si>
  <si>
    <t>TOTALE RETE ACQUE DI PIAZZALE</t>
  </si>
  <si>
    <t xml:space="preserve">SCAVI PER FOGNATURE NERE / BIANCHE / PIAZZALE </t>
  </si>
  <si>
    <t>COMPRESI NELLE OPERE - considerato trasporto e utilizzo in area di cantiere</t>
  </si>
  <si>
    <t>totale</t>
  </si>
  <si>
    <t>IMPIANTI ELETTRICI E SPECIALI ESTERNI - TUBO CON SCAVO E RINTERRO</t>
  </si>
  <si>
    <t>TONDINO IN ACCIAIO DIM. 95 mmq - LINEA DI TERRA</t>
  </si>
  <si>
    <t>POZZETTO 40 x 40 cm CON PUNTAZZA DI TERRA E CHIUSINO CARRABILE</t>
  </si>
  <si>
    <t>POZZETTO CON CHIUSINO IN GHISA 60 x 60 cm</t>
  </si>
  <si>
    <t>POZZETTO CON CHIUSINO IN GHISA 100 x 100 cm</t>
  </si>
  <si>
    <t>SCAVO E RINTERRO</t>
  </si>
  <si>
    <t>ANELLO ANTINCENDIO - TUBO CON SCAVO E RINTERRO</t>
  </si>
  <si>
    <t>TUBAZIONE Ø125 - ANELLO E STACCHI</t>
  </si>
  <si>
    <t>RETE IDRICA (ADDUZIONE UFFICI) - TUBO CON SCAVO E RINTERRO</t>
  </si>
  <si>
    <t>TUBAZIONE Ø40 - ADDUZIONE IDRICA UFFICI</t>
  </si>
  <si>
    <t>FORNITURA E POSA VALVOLE POZZETTI E CONTATORE</t>
  </si>
  <si>
    <t>RETE DI IRRIGAZIONE - TUBO CON SCAVO E RINTERRO</t>
  </si>
  <si>
    <t>PREDISPOSIZIONE TUBAZIONI Ø50</t>
  </si>
  <si>
    <t>FORNITURA E POSA DI POZZETTO PUNTO PRESA</t>
  </si>
  <si>
    <t>SCAVI (compresi di rinterri) PER RETI INTERRATE (ANELLO ANTINCENDIO + RETE IDRICA + RETE DI IRRIGAZIONE)</t>
  </si>
  <si>
    <t>SCAVO COMPRESO DI RINTERRO</t>
  </si>
  <si>
    <t>VASCA DI LAMINAZIONE</t>
  </si>
  <si>
    <t>SCAVO VASCA - compreso il trasporto del terreno di risulta in luogo indicato dalla DL all'interno del cantiere o a discarica</t>
  </si>
  <si>
    <t>SCAVO IN TRINCEA</t>
  </si>
  <si>
    <t>FORNITURA E POSA MAGRONE PER VASCA VASCA DI LAMINAZIONE</t>
  </si>
  <si>
    <t>TOTALE FORNITURA E POSA MAGRONE</t>
  </si>
  <si>
    <t>FORNITURA E POSA CLS PER CIABATTE/PLATEE VASCA DI LAMINAZIONE</t>
  </si>
  <si>
    <t>TOTALE FORNITURA E POSA CLS CIABATTA DI FONDAZIONE</t>
  </si>
  <si>
    <t>FORNITURA E POSA VASCA  compreso successivo riempimento con materiale arido/riciclato</t>
  </si>
  <si>
    <t>OPZIONE: REALIZZAZIONE DI VASCA DI LAMINAZIONE IN OPERA, COMPRESO ARMATURA, CASSERATURE E GETTI IN OPERA PER PLATEA, SETTI E COPERTURA</t>
  </si>
  <si>
    <t>ALLACCIAMENTI E POMPA PER SOLLEVAMENTO</t>
  </si>
  <si>
    <t>RIMEPIMENTI SCAVI VASCA DI LAMINAZIONE</t>
  </si>
  <si>
    <t>VASCA DI PRIMA PIOGGIA</t>
  </si>
  <si>
    <t>FORNITURA E POSA MAGRONE PER VASCA DI PRIMA PIOGGIA</t>
  </si>
  <si>
    <t>VASCA PRIMA PIOGGIA - VASCA</t>
  </si>
  <si>
    <t>VASCA PRIMA PIOGGIA - POZZETTO SCOLMATORE</t>
  </si>
  <si>
    <t>VASCA PRIMA PIOGGIA -  DISOLEATORE</t>
  </si>
  <si>
    <t>FORNITURA E POSA CLS CIABATTA DI FONDAZIONE PER VASCA DI PRIMA PIOGGIA, compresa l'armatura con rete Ø12/20x20</t>
  </si>
  <si>
    <t>FORNITURA E POSA VASCA, STAZIONE DI SOLLEVAMENTO E POMPE  compreso successivo riempimento con materiale arido/riciclato</t>
  </si>
  <si>
    <t>VASCA DI IRRIGAZIONE</t>
  </si>
  <si>
    <t>FORNITURA E POSA MAGRONE PER VASCA DI IRRIGAZIONE</t>
  </si>
  <si>
    <t>FORNITURA E POSA CLS PER CIABATTE/PLATEE VASCA DI IRRIGAZIONE</t>
  </si>
  <si>
    <r>
      <rPr>
        <b/>
        <sz val="8"/>
        <color rgb="FF000000"/>
        <rFont val="Arial"/>
        <family val="2"/>
      </rPr>
      <t xml:space="preserve">Fornitura e posa vasca compreso reinterro con materiale arido - VASCA DI IRRIGAZIONE - </t>
    </r>
    <r>
      <rPr>
        <sz val="8"/>
        <color rgb="FF000000"/>
        <rFont val="Arial"/>
        <family val="2"/>
      </rPr>
      <t xml:space="preserve"> realizzata in Cemento Armato Vibrato monoblocco, comprensivo di lastra di copertura ed accessori necessari al montaggio e rifintura degli elementi prefabbricati - idoneo a trattare un volume di 34 mc</t>
    </r>
  </si>
  <si>
    <t>OPZIONE: REALIZZAZIONE DI VASCA DI IRRIGAZIONE IN OPERA, COMPRESO ARMATURA, CASSERATURE E GETTI IN OPERA PER PLATEA, SETTI E COPERTURA</t>
  </si>
  <si>
    <t>RIMEPIMENTI SCAVI VASCA DI IRRIGAZIONE</t>
  </si>
  <si>
    <t>TOTALE OPERE ESTERNE E RETI INTERRATE</t>
  </si>
  <si>
    <t>STESA TERRENO PROVENIENTE DA FONDAZIONI SPECIALI</t>
  </si>
  <si>
    <t xml:space="preserve">stesa in sito di materiale di risulta proveniente da lavori di JET GROUNTIG per plinti </t>
  </si>
  <si>
    <t>TOTALE MOVIMENTAZIONE DA FONDAZIONI SPECIALI</t>
  </si>
  <si>
    <t>TOTALE OPERE ESTERNE</t>
  </si>
  <si>
    <t>C-1</t>
  </si>
  <si>
    <t>OPERE EDILI</t>
  </si>
  <si>
    <t>SCAVI DI FONDAZIONE</t>
  </si>
  <si>
    <t>SCAVI PER FONDAZIONI FABBRICATO</t>
  </si>
  <si>
    <t>per PLINTI DI FONDAZIONE</t>
  </si>
  <si>
    <t>per PLATEA VANO ASCENSORE</t>
  </si>
  <si>
    <t>SCAVI PER PLATEA PEDANE BAIE DI CARICO</t>
  </si>
  <si>
    <t>per PLATEA PER PEDANE</t>
  </si>
  <si>
    <t>SCAVO  IN TRINCEA PER FONDAZIONE MURO RAMPA BAIA CAMION compreso trasporto materiale di risulta in sito indicato dalla DL e riempimento scavo</t>
  </si>
  <si>
    <t>muretto in corrispondenza del piazzale a quota - 1,20m</t>
  </si>
  <si>
    <t>TOTALE SCAVI E REINTERRI PER STRUTTURE E OPERE IN CA</t>
  </si>
  <si>
    <t>TOTALE COMPLESSIVO APPALTO</t>
  </si>
  <si>
    <t>UNITA'</t>
  </si>
  <si>
    <t>VOLUME SCAVATO</t>
  </si>
  <si>
    <t>A DEDURRE VOLUME VASCA</t>
  </si>
  <si>
    <t>A DEDURRE VOLUME MAGRONE</t>
  </si>
  <si>
    <t>A DEDURRE VOLUME SOLETTA DI FONDAZIONE</t>
  </si>
  <si>
    <t>RIEMPIMENTO CON MATERIALE PREVENTIVAMENTE SCAVATO</t>
  </si>
  <si>
    <t>SCAVO SCOLMATORE</t>
  </si>
  <si>
    <t>SCAVO VASCA DI PRIMA PIOGGIA</t>
  </si>
  <si>
    <t>SCAVO DISOLEATORE</t>
  </si>
  <si>
    <t>A DEDURRE VOLUME VASCHE</t>
  </si>
  <si>
    <t>TUBAZIONE PE CORR. Ø 500</t>
  </si>
  <si>
    <t>TUBAZIONE PE CORR. Ø 630</t>
  </si>
  <si>
    <t>POZZETTO ISPEZIONE CON CHIUSINO 70 x 70 cm comprensivi di prolunghe dove necessario</t>
  </si>
  <si>
    <t>POZZETTO CON CHIUSINO IN GHISA 70 x 70 cm comprensivi di prolunghe dove necessario</t>
  </si>
  <si>
    <t>SCAVO CONDOTTI ACQUE PIAZZALI BAIE BILICI</t>
  </si>
  <si>
    <t>SCAVO CONDOTTI ACQUE PIAZZALI DA BAIE FURGONI A PROSPETTO BAIE BILICI</t>
  </si>
  <si>
    <t>SCAVO CONDOTTI ACQUE NERE</t>
  </si>
  <si>
    <t>SCAVO CONDOTTI ACQUE BIANCHE COPERTURA</t>
  </si>
  <si>
    <t>RIFACIMENTO PAVIMENTAZIONE STRADALE ESTERNA AL LOTTO SUL LATO BAIE VAN</t>
  </si>
  <si>
    <t>RINTERRO con terreno da zona di sbancamento</t>
  </si>
  <si>
    <t>Fornitura e posa vasca compreso rinterro con materiale arido - VASCA DI PRIMA PIOGGIA COMPLETA - costituita da idoneo pozzetto scolmatore, vasca di prima pioggia, accumulo e rilancio con elettropompa (elettropompa compresa), pozzetto di decompressione, disoleatore idoneo con dispositvi di chiusura automatica con filtro per coalescenza, idoneo pozzetto pompe di rilancio (n. 2 pompe idonee - compeso) COMPRENSIVO DI POMPE IDONEE - idonee a trattare un volume di circa 22,3 mq</t>
  </si>
  <si>
    <t>RIEMPIMENTI SCAVI VASCA DI PRIMA PIOGGIA</t>
  </si>
  <si>
    <t>DEMOLIZIONI E RIPRISTINO INTERFERENZE PROPEDEUTICHE ALL'INIZIO DELLE LAVORAZIONI</t>
  </si>
  <si>
    <t>DEMOLIZIONE LINEA FOGNARIA ACQUE BIANCHE</t>
  </si>
  <si>
    <t>m</t>
  </si>
  <si>
    <t>DEMOLIZIONE LINEA ELETTRICA INTERRATA</t>
  </si>
  <si>
    <t>FORNITURA E POSA DI CADITOIE</t>
  </si>
  <si>
    <t>DEMOLIZIONE E RIMOZIONE DI CORDOLATURE</t>
  </si>
  <si>
    <t>DEMOLIZIONE DI MURO H=0,30m</t>
  </si>
  <si>
    <t>DEMOLIZIONE DI MURO H=3,00m E RELATIVA FONDAZIONE</t>
  </si>
  <si>
    <t>DEMOLIZIONI E RIMOZIONI compreso carico e trasporto a discarica dei materiali di risulta</t>
  </si>
  <si>
    <t>RIFACIMENTI compresa fornitura e posa</t>
  </si>
  <si>
    <t>E-3</t>
  </si>
  <si>
    <t>E-4</t>
  </si>
  <si>
    <t>RINTERRO PER FONDAZIONI FABBRICATO</t>
  </si>
  <si>
    <t>SCAVO</t>
  </si>
  <si>
    <t>A DEDURRE VOLUME CALCESTRUZZO E MAGRONE</t>
  </si>
  <si>
    <t>TOTALE DEMOLIZIONI E RIPRISTINI AREA</t>
  </si>
  <si>
    <t>RIMOZIONE ALBERI AD ALTO FUSTO</t>
  </si>
  <si>
    <t>RIMOZIONI POZZETTI</t>
  </si>
  <si>
    <t>RIMOZIONE PALI ILLUMINAZIONE</t>
  </si>
  <si>
    <t>RIMOZIONE CADITOIE</t>
  </si>
  <si>
    <t>cadauno</t>
  </si>
  <si>
    <t>RIFACIMENTO PAVIMENTAZIONE STRADALE, compresa scarificatura, alzamento del piano con stesura di 20 cm di materiale arido e rifacimento del pacchetto stradale</t>
  </si>
  <si>
    <t>ALLACCIAMENTO alla rete esistente (individuazione della fognatura con squota di scorrimento, scavo e ripristino)</t>
  </si>
  <si>
    <t>POZZETTI CON GRIGLIA PEDONALE SAGOMATA PER INSERIMENTO PLUVIALI</t>
  </si>
  <si>
    <t>FOSSA IMHOFF CIRCA 10 A.E. - SCAVO, FORNITURA E POSA IN OPERA</t>
  </si>
  <si>
    <t>LINEA ELETTRICA INTERRATA CON MATERIALE DELLE MEDESIME CARATTERISTICHE E DIMENSIONI DI QUELLI DEMOLITI/RIMOSSI</t>
  </si>
  <si>
    <t>LINEA FOGNARIA ACQUA BIANCHE CON MATERIALI DELLE MEDESIME CARATTERISTICHE DI QUELLI DEMOLITI/RIMOSSI</t>
  </si>
  <si>
    <t>POSA DI NUOVA CORDOLATURA A CHIUSURA AIUOLA ESISTENTE DELLE MEDESIME DIMENSIONI E MATERIALE DI QUELLO ESISTENTE</t>
  </si>
  <si>
    <t>CAVIDOTTO Ø160 PESANTE PER DISTRIBUZIONE DATI E CORRENTI DEBOLI (x2#)</t>
  </si>
  <si>
    <t>CAVIDOTTO Ø160 PESANTE ARMATO PER ENERGIA BT (x 7#)</t>
  </si>
  <si>
    <t>CAVIDOTTO Ø160 PESANTE ARMATO PER ENERGIA BT (x 6#)</t>
  </si>
  <si>
    <t>CAVIDOTTO Ø160 PESANTE ARMATO PER ENERGIA BT (x 4#)</t>
  </si>
  <si>
    <t>CAVIDOTTO Ø160 PESANTE ARMATO PER ENERGIA BT (x 2#)</t>
  </si>
  <si>
    <r>
      <t xml:space="preserve">OPZIONE: Fornitura e posa vasca compreso reinterro con materiale arido - VASCA DI LAMINAZIONE - </t>
    </r>
    <r>
      <rPr>
        <sz val="8"/>
        <color rgb="FF000000"/>
        <rFont val="Arial"/>
        <family val="2"/>
      </rPr>
      <t>costituita n. 2 moduli tipo mod. IDRIKA630C di dimensioni cm. 246x630x250 e da n.37 moduli mod. IDRIKA630U di dimensioni cm. 246x630x250 o equivalente, realizzati in Cemento Armato Vibrato monoblocco, comprensivo di lastre di copertura ed accessori necessari al montaggio e rifinitura degli elementi prefabbricati - idoneo a trattare un volume di 1332 mc</t>
    </r>
  </si>
  <si>
    <t>OPZIONE: REALIZZAZIONE DI VASCA DI LAMINAZIONE CON SISTEMA TIPO CUPOLEX O EQUIVALENTE CON SETTI PREFABBRICATI, COMPRESA ARMATURE, CASSERATURE E GETTI IN OPERA PER PLATEA, COPERTURA</t>
  </si>
  <si>
    <t>ipotizzato cls diam.500</t>
  </si>
  <si>
    <t>accatastamento in cantiere</t>
  </si>
  <si>
    <t xml:space="preserve">solo scavo e rinterro </t>
  </si>
  <si>
    <t>escluso</t>
  </si>
  <si>
    <t>compreso</t>
  </si>
  <si>
    <t>interno cantiere</t>
  </si>
  <si>
    <t>proposta vasca tipo rigofild</t>
  </si>
  <si>
    <t>con materiale esistente in cantiere</t>
  </si>
  <si>
    <t>opzione</t>
  </si>
  <si>
    <t>escluso opzioni</t>
  </si>
  <si>
    <t>BuildTech Srl</t>
  </si>
  <si>
    <t>Sconto</t>
  </si>
  <si>
    <t>Viale Pavia n°16</t>
  </si>
  <si>
    <t>Lodi</t>
  </si>
  <si>
    <t>Totale</t>
  </si>
  <si>
    <t>Concordato</t>
  </si>
  <si>
    <t>C.A.</t>
  </si>
  <si>
    <t>POSA IN OPERA</t>
  </si>
  <si>
    <t>FORNITURE</t>
  </si>
  <si>
    <t>QUANTITÀ</t>
  </si>
  <si>
    <t>IMPORTO</t>
  </si>
  <si>
    <t>+/-</t>
  </si>
  <si>
    <r>
      <t xml:space="preserve">OPZIONE: Fornitura e posa vasca compreso reinterro con materiale arido - VASCA DI LAMINAZIONE - </t>
    </r>
    <r>
      <rPr>
        <sz val="11"/>
        <color rgb="FF000000"/>
        <rFont val="Arial"/>
        <family val="2"/>
      </rPr>
      <t>costituita n. 2 moduli tipo mod. IDRIKA630C di dimensioni cm. 246x630x250 e da n.37 moduli mod. IDRIKA630U di dimensioni cm. 246x630x250 o equivalente, realizzati in Cemento Armato Vibrato monoblocco, comprensivo di lastre di copertura ed accessori necessari al montaggio e rifinitura degli elementi prefabbricati - idoneo a trattare un volume di 1332 mc</t>
    </r>
  </si>
  <si>
    <r>
      <t xml:space="preserve">Fornitura e posa vasca compreso reinterro con materiale arido - VASCA DI IRRIGAZIONE - </t>
    </r>
    <r>
      <rPr>
        <sz val="11"/>
        <color rgb="FF000000"/>
        <rFont val="Arial"/>
        <family val="2"/>
      </rPr>
      <t xml:space="preserve"> realizzata in Cemento Armato Vibrato monoblocco, comprensivo di lastra di copertura ed accessori necessari al montaggio e rifintura degli elementi prefabbricati - idoneo a trattare un volume di 34 mc</t>
    </r>
  </si>
  <si>
    <t>P.U. SCONTATO</t>
  </si>
  <si>
    <t>Ø500</t>
  </si>
  <si>
    <t>n.1 Ø160</t>
  </si>
  <si>
    <t>NOTE</t>
  </si>
  <si>
    <t>IMPORTO
SCONTATO</t>
  </si>
  <si>
    <t>U.M.</t>
  </si>
  <si>
    <t>SUP.</t>
  </si>
  <si>
    <t>K3POSE</t>
  </si>
  <si>
    <t>Ø200 cm</t>
  </si>
  <si>
    <t>80x80</t>
  </si>
  <si>
    <t>CLS Ø500</t>
  </si>
  <si>
    <t>CLS Ø600</t>
  </si>
  <si>
    <t>Dim. 12x15 h=25</t>
  </si>
  <si>
    <t>errore (manca importo + €. 328785.88)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</si>
</sst>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([$€-2]\ * #,##0.00_);_([$€-2]\ * \(#,##0.00\);_([$€-2]\ * &quot;-&quot;??_);_(@_)"/>
    <numFmt numFmtId="166" formatCode="#,##0&quot; F&quot;;\ \-#,##0&quot; F&quot;"/>
    <numFmt numFmtId="167" formatCode="#,##0.000"/>
    <numFmt numFmtId="168" formatCode="_-* #,##0.00\ [$€-410]_-;\-* #,##0.00\ [$€-410]_-;_-* &quot;-&quot;??\ [$€-410]_-;_-@_-"/>
    <numFmt numFmtId="169" formatCode="_-[$€-2]\ * #,##0.00_-;\-[$€-2]\ * #,##0.00_-;_-[$€-2]\ * &quot;-&quot;??_-;_-@_-"/>
    <numFmt numFmtId="170" formatCode="#,##0.00\ [$€];[Red]\-#,##0.00\ [$€]"/>
    <numFmt numFmtId="171" formatCode="_-* #,##0.00\ [$€-1]_-;\-* #,##0.00\ [$€-1]_-;_-* &quot;-&quot;??\ [$€-1]_-"/>
    <numFmt numFmtId="172" formatCode="_-* #,##0.00\ _F_-;\-* #,##0.00\ _F_-;_-* &quot;-&quot;??\ _F_-;_-@_-"/>
    <numFmt numFmtId="173" formatCode="_-* #,##0.00\ &quot;F&quot;_-;\-* #,##0.00\ &quot;F&quot;_-;_-* &quot;-&quot;??\ &quot;F&quot;_-;_-@_-"/>
    <numFmt numFmtId="174" formatCode="_-[$€-2]\ * #,##0.00_-;\-[$€-2]\ * #,##0.00_-;_-[$€-2]\ * &quot;-&quot;??_-"/>
  </numFmts>
  <fonts count="5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MS Sans Serif"/>
    </font>
    <font>
      <sz val="10"/>
      <name val="MS Sans Serif"/>
      <family val="2"/>
    </font>
    <font>
      <b/>
      <sz val="8"/>
      <name val="Arial"/>
      <family val="2"/>
    </font>
    <font>
      <b/>
      <sz val="10"/>
      <color theme="0" tint="-0.499984740745262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i/>
      <sz val="8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 Black"/>
      <family val="2"/>
    </font>
    <font>
      <b/>
      <u/>
      <sz val="14"/>
      <color indexed="8"/>
      <name val="Arial Black"/>
      <family val="2"/>
    </font>
    <font>
      <b/>
      <sz val="11"/>
      <color indexed="8"/>
      <name val="Arial Black"/>
      <family val="2"/>
    </font>
    <font>
      <b/>
      <u/>
      <sz val="9"/>
      <color indexed="8"/>
      <name val="Arial"/>
      <family val="2"/>
    </font>
    <font>
      <sz val="7"/>
      <color indexed="8"/>
      <name val="Arial"/>
      <family val="2"/>
    </font>
    <font>
      <sz val="12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FF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MS Sans Serif"/>
    </font>
    <font>
      <b/>
      <sz val="1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sz val="11"/>
      <name val="MS Sans Serif"/>
      <family val="2"/>
    </font>
    <font>
      <sz val="11"/>
      <color rgb="FFFF0000"/>
      <name val="Arial"/>
      <family val="2"/>
    </font>
    <font>
      <b/>
      <sz val="11"/>
      <color theme="0" tint="-0.499984740745262"/>
      <name val="Arial"/>
      <family val="2"/>
    </font>
    <font>
      <b/>
      <sz val="11"/>
      <color indexed="12"/>
      <name val="Arial"/>
      <family val="2"/>
    </font>
    <font>
      <sz val="11"/>
      <color theme="0"/>
      <name val="Arial"/>
      <family val="2"/>
    </font>
    <font>
      <b/>
      <sz val="11"/>
      <color rgb="FFFF0000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FF0000"/>
      <name val="Arial"/>
      <family val="2"/>
    </font>
    <font>
      <i/>
      <sz val="11"/>
      <color rgb="FF000000"/>
      <name val="Arial"/>
      <family val="2"/>
    </font>
    <font>
      <b/>
      <sz val="11"/>
      <color rgb="FFFF0000"/>
      <name val="MS Sans Serif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hair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ashed">
        <color indexed="64"/>
      </right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hair">
        <color indexed="64"/>
      </top>
      <bottom/>
      <diagonal/>
    </border>
    <border>
      <left style="dashed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27">
    <xf numFmtId="0" fontId="0" fillId="0" borderId="0"/>
    <xf numFmtId="0" fontId="17" fillId="0" borderId="0"/>
    <xf numFmtId="49" fontId="21" fillId="6" borderId="0">
      <alignment horizontal="left" vertical="top" wrapText="1"/>
    </xf>
    <xf numFmtId="49" fontId="22" fillId="6" borderId="0">
      <alignment horizontal="left" vertical="top" wrapText="1"/>
    </xf>
    <xf numFmtId="170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9" fontId="19" fillId="6" borderId="0">
      <alignment horizontal="left" vertical="top"/>
    </xf>
    <xf numFmtId="49" fontId="20" fillId="6" borderId="0">
      <alignment horizontal="left" vertical="top"/>
    </xf>
    <xf numFmtId="40" fontId="4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6" fillId="0" borderId="0"/>
    <xf numFmtId="0" fontId="25" fillId="0" borderId="0"/>
    <xf numFmtId="49" fontId="24" fillId="6" borderId="0">
      <alignment vertical="top" wrapText="1"/>
    </xf>
    <xf numFmtId="49" fontId="23" fillId="6" borderId="0">
      <alignment horizontal="left" vertical="top" wrapText="1"/>
    </xf>
    <xf numFmtId="49" fontId="18" fillId="6" borderId="0">
      <alignment horizontal="left" vertical="top"/>
    </xf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677">
    <xf numFmtId="0" fontId="0" fillId="0" borderId="0" xfId="0"/>
    <xf numFmtId="0" fontId="1" fillId="2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165" fontId="8" fillId="0" borderId="23" xfId="0" quotePrefix="1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165" fontId="8" fillId="0" borderId="20" xfId="0" quotePrefix="1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65" fontId="5" fillId="3" borderId="11" xfId="0" applyNumberFormat="1" applyFont="1" applyFill="1" applyBorder="1" applyAlignment="1" applyProtection="1">
      <alignment horizontal="center" vertical="center"/>
      <protection locked="0"/>
    </xf>
    <xf numFmtId="165" fontId="5" fillId="3" borderId="14" xfId="0" applyNumberFormat="1" applyFont="1" applyFill="1" applyBorder="1" applyAlignment="1" applyProtection="1">
      <alignment horizontal="center" vertical="center"/>
      <protection locked="0"/>
    </xf>
    <xf numFmtId="165" fontId="5" fillId="2" borderId="26" xfId="0" quotePrefix="1" applyNumberFormat="1" applyFont="1" applyFill="1" applyBorder="1" applyAlignment="1" applyProtection="1">
      <alignment horizontal="center" vertical="center"/>
      <protection locked="0"/>
    </xf>
    <xf numFmtId="165" fontId="9" fillId="0" borderId="40" xfId="0" applyNumberFormat="1" applyFont="1" applyBorder="1" applyAlignment="1" applyProtection="1">
      <alignment horizontal="center" vertical="center"/>
      <protection locked="0"/>
    </xf>
    <xf numFmtId="165" fontId="5" fillId="2" borderId="30" xfId="0" quotePrefix="1" applyNumberFormat="1" applyFont="1" applyFill="1" applyBorder="1" applyAlignment="1" applyProtection="1">
      <alignment horizontal="center" vertical="center"/>
      <protection locked="0"/>
    </xf>
    <xf numFmtId="165" fontId="5" fillId="0" borderId="30" xfId="0" applyNumberFormat="1" applyFont="1" applyBorder="1" applyAlignment="1" applyProtection="1">
      <alignment horizontal="center" vertical="center"/>
      <protection locked="0"/>
    </xf>
    <xf numFmtId="165" fontId="13" fillId="3" borderId="17" xfId="0" applyNumberFormat="1" applyFont="1" applyFill="1" applyBorder="1" applyAlignment="1" applyProtection="1">
      <alignment horizontal="center" vertical="center"/>
      <protection locked="0"/>
    </xf>
    <xf numFmtId="165" fontId="5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8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5" fillId="0" borderId="33" xfId="0" quotePrefix="1" applyNumberFormat="1" applyFont="1" applyBorder="1" applyAlignment="1" applyProtection="1">
      <alignment horizontal="center" vertical="center"/>
      <protection locked="0"/>
    </xf>
    <xf numFmtId="165" fontId="2" fillId="0" borderId="35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165" fontId="9" fillId="0" borderId="44" xfId="0" applyNumberFormat="1" applyFont="1" applyBorder="1" applyAlignment="1" applyProtection="1">
      <alignment horizontal="center" vertical="center"/>
      <protection locked="0"/>
    </xf>
    <xf numFmtId="165" fontId="9" fillId="4" borderId="30" xfId="0" applyNumberFormat="1" applyFont="1" applyFill="1" applyBorder="1" applyAlignment="1" applyProtection="1">
      <alignment horizontal="center" vertical="center"/>
      <protection locked="0"/>
    </xf>
    <xf numFmtId="165" fontId="15" fillId="0" borderId="47" xfId="0" quotePrefix="1" applyNumberFormat="1" applyFont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165" fontId="5" fillId="0" borderId="22" xfId="0" applyNumberFormat="1" applyFont="1" applyBorder="1" applyAlignment="1" applyProtection="1">
      <alignment horizontal="center" vertical="center"/>
      <protection locked="0"/>
    </xf>
    <xf numFmtId="165" fontId="8" fillId="0" borderId="22" xfId="0" applyNumberFormat="1" applyFont="1" applyBorder="1" applyAlignment="1" applyProtection="1">
      <alignment horizontal="center" vertical="center"/>
      <protection locked="0"/>
    </xf>
    <xf numFmtId="168" fontId="5" fillId="5" borderId="27" xfId="0" applyNumberFormat="1" applyFont="1" applyFill="1" applyBorder="1" applyAlignment="1" applyProtection="1">
      <alignment horizontal="center" vertical="center"/>
      <protection locked="0"/>
    </xf>
    <xf numFmtId="0" fontId="5" fillId="3" borderId="9" xfId="0" applyFont="1" applyFill="1" applyBorder="1" applyAlignment="1" applyProtection="1">
      <alignment vertical="center"/>
      <protection locked="0"/>
    </xf>
    <xf numFmtId="0" fontId="5" fillId="3" borderId="10" xfId="0" applyFont="1" applyFill="1" applyBorder="1" applyAlignment="1" applyProtection="1">
      <alignment horizontal="center" vertical="center"/>
      <protection locked="0"/>
    </xf>
    <xf numFmtId="3" fontId="5" fillId="3" borderId="10" xfId="0" applyNumberFormat="1" applyFont="1" applyFill="1" applyBorder="1" applyAlignment="1" applyProtection="1">
      <alignment horizontal="center" vertical="center"/>
      <protection locked="0"/>
    </xf>
    <xf numFmtId="2" fontId="5" fillId="3" borderId="10" xfId="0" applyNumberFormat="1" applyFont="1" applyFill="1" applyBorder="1" applyAlignment="1" applyProtection="1">
      <alignment horizontal="center" vertical="center"/>
      <protection locked="0"/>
    </xf>
    <xf numFmtId="0" fontId="8" fillId="3" borderId="12" xfId="0" applyFont="1" applyFill="1" applyBorder="1" applyAlignment="1" applyProtection="1">
      <alignment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3" fontId="8" fillId="3" borderId="13" xfId="0" applyNumberFormat="1" applyFont="1" applyFill="1" applyBorder="1" applyAlignment="1" applyProtection="1">
      <alignment horizontal="center" vertical="center"/>
      <protection locked="0"/>
    </xf>
    <xf numFmtId="0" fontId="5" fillId="3" borderId="13" xfId="0" quotePrefix="1" applyFont="1" applyFill="1" applyBorder="1" applyAlignment="1" applyProtection="1">
      <alignment horizontal="center" vertical="center"/>
      <protection locked="0"/>
    </xf>
    <xf numFmtId="0" fontId="5" fillId="3" borderId="13" xfId="0" quotePrefix="1" applyFont="1" applyFill="1" applyBorder="1" applyAlignment="1" applyProtection="1">
      <alignment horizontal="right" vertical="center"/>
      <protection locked="0"/>
    </xf>
    <xf numFmtId="2" fontId="5" fillId="3" borderId="13" xfId="0" applyNumberFormat="1" applyFont="1" applyFill="1" applyBorder="1" applyAlignment="1" applyProtection="1">
      <alignment horizontal="center" vertical="center"/>
      <protection locked="0"/>
    </xf>
    <xf numFmtId="0" fontId="9" fillId="4" borderId="15" xfId="0" applyFont="1" applyFill="1" applyBorder="1" applyAlignment="1" applyProtection="1">
      <alignment vertical="center"/>
      <protection locked="0"/>
    </xf>
    <xf numFmtId="2" fontId="9" fillId="0" borderId="43" xfId="0" applyNumberFormat="1" applyFont="1" applyBorder="1" applyAlignment="1" applyProtection="1">
      <alignment horizontal="center" vertical="center"/>
      <protection locked="0"/>
    </xf>
    <xf numFmtId="2" fontId="8" fillId="0" borderId="19" xfId="0" applyNumberFormat="1" applyFont="1" applyBorder="1" applyAlignment="1" applyProtection="1">
      <alignment horizontal="center" vertical="center"/>
      <protection locked="0"/>
    </xf>
    <xf numFmtId="2" fontId="5" fillId="0" borderId="16" xfId="0" applyNumberFormat="1" applyFont="1" applyBorder="1" applyAlignment="1" applyProtection="1">
      <alignment horizontal="center" vertical="center"/>
      <protection locked="0"/>
    </xf>
    <xf numFmtId="2" fontId="5" fillId="2" borderId="25" xfId="0" applyNumberFormat="1" applyFont="1" applyFill="1" applyBorder="1" applyAlignment="1" applyProtection="1">
      <alignment horizontal="center" vertical="center"/>
      <protection locked="0"/>
    </xf>
    <xf numFmtId="2" fontId="11" fillId="0" borderId="38" xfId="0" applyNumberFormat="1" applyFont="1" applyBorder="1" applyAlignment="1" applyProtection="1">
      <alignment horizontal="center" vertical="center"/>
      <protection locked="0"/>
    </xf>
    <xf numFmtId="2" fontId="2" fillId="0" borderId="16" xfId="0" applyNumberFormat="1" applyFont="1" applyBorder="1" applyAlignment="1" applyProtection="1">
      <alignment horizontal="center" vertical="center"/>
      <protection locked="0"/>
    </xf>
    <xf numFmtId="2" fontId="5" fillId="2" borderId="29" xfId="0" applyNumberFormat="1" applyFont="1" applyFill="1" applyBorder="1" applyAlignment="1" applyProtection="1">
      <alignment horizontal="center" vertical="center"/>
      <protection locked="0"/>
    </xf>
    <xf numFmtId="2" fontId="5" fillId="0" borderId="29" xfId="0" applyNumberFormat="1" applyFont="1" applyBorder="1" applyAlignment="1" applyProtection="1">
      <alignment horizontal="center" vertical="center"/>
      <protection locked="0"/>
    </xf>
    <xf numFmtId="2" fontId="13" fillId="3" borderId="41" xfId="0" applyNumberFormat="1" applyFont="1" applyFill="1" applyBorder="1" applyAlignment="1" applyProtection="1">
      <alignment horizontal="right" vertical="center"/>
      <protection locked="0"/>
    </xf>
    <xf numFmtId="2" fontId="11" fillId="4" borderId="29" xfId="0" applyNumberFormat="1" applyFont="1" applyFill="1" applyBorder="1" applyAlignment="1" applyProtection="1">
      <alignment horizontal="center" vertical="center"/>
      <protection locked="0"/>
    </xf>
    <xf numFmtId="2" fontId="8" fillId="0" borderId="27" xfId="0" applyNumberFormat="1" applyFont="1" applyBorder="1" applyAlignment="1" applyProtection="1">
      <alignment horizontal="center" vertical="center"/>
      <protection locked="0"/>
    </xf>
    <xf numFmtId="2" fontId="5" fillId="2" borderId="27" xfId="0" applyNumberFormat="1" applyFont="1" applyFill="1" applyBorder="1" applyAlignment="1" applyProtection="1">
      <alignment horizontal="center" vertical="center"/>
      <protection locked="0"/>
    </xf>
    <xf numFmtId="2" fontId="8" fillId="2" borderId="27" xfId="0" applyNumberFormat="1" applyFont="1" applyFill="1" applyBorder="1" applyAlignment="1" applyProtection="1">
      <alignment horizontal="center" vertical="center"/>
      <protection locked="0"/>
    </xf>
    <xf numFmtId="2" fontId="8" fillId="0" borderId="46" xfId="0" applyNumberFormat="1" applyFont="1" applyBorder="1" applyAlignment="1" applyProtection="1">
      <alignment horizontal="center" vertical="center"/>
      <protection locked="0"/>
    </xf>
    <xf numFmtId="2" fontId="2" fillId="0" borderId="31" xfId="0" applyNumberFormat="1" applyFont="1" applyBorder="1" applyAlignment="1" applyProtection="1">
      <alignment horizontal="center" vertical="center"/>
      <protection locked="0"/>
    </xf>
    <xf numFmtId="2" fontId="2" fillId="0" borderId="36" xfId="0" applyNumberFormat="1" applyFont="1" applyBorder="1" applyAlignment="1" applyProtection="1">
      <alignment horizontal="center" vertical="center"/>
      <protection locked="0"/>
    </xf>
    <xf numFmtId="0" fontId="9" fillId="0" borderId="42" xfId="0" applyFont="1" applyBorder="1" applyAlignment="1">
      <alignment vertical="center"/>
    </xf>
    <xf numFmtId="0" fontId="9" fillId="0" borderId="43" xfId="0" applyFont="1" applyBorder="1" applyAlignment="1">
      <alignment horizontal="left" vertical="center"/>
    </xf>
    <xf numFmtId="3" fontId="9" fillId="0" borderId="43" xfId="0" applyNumberFormat="1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3" xfId="0" applyFont="1" applyBorder="1" applyAlignment="1">
      <alignment horizontal="right" vertical="center"/>
    </xf>
    <xf numFmtId="3" fontId="8" fillId="0" borderId="19" xfId="0" applyNumberFormat="1" applyFont="1" applyBorder="1" applyAlignment="1">
      <alignment horizontal="center" vertical="center"/>
    </xf>
    <xf numFmtId="4" fontId="8" fillId="0" borderId="19" xfId="0" applyNumberFormat="1" applyFont="1" applyBorder="1" applyAlignment="1">
      <alignment horizontal="right" vertical="center"/>
    </xf>
    <xf numFmtId="4" fontId="8" fillId="0" borderId="19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166" fontId="8" fillId="0" borderId="22" xfId="0" applyNumberFormat="1" applyFont="1" applyBorder="1" applyAlignment="1">
      <alignment horizontal="right" vertical="center" wrapText="1"/>
    </xf>
    <xf numFmtId="3" fontId="8" fillId="0" borderId="22" xfId="0" applyNumberFormat="1" applyFont="1" applyBorder="1" applyAlignment="1">
      <alignment horizontal="center" vertical="center"/>
    </xf>
    <xf numFmtId="4" fontId="8" fillId="0" borderId="22" xfId="0" applyNumberFormat="1" applyFont="1" applyBorder="1" applyAlignment="1">
      <alignment horizontal="right" vertical="center"/>
    </xf>
    <xf numFmtId="4" fontId="8" fillId="0" borderId="22" xfId="0" quotePrefix="1" applyNumberFormat="1" applyFont="1" applyBorder="1" applyAlignment="1">
      <alignment horizontal="right" vertical="center"/>
    </xf>
    <xf numFmtId="167" fontId="8" fillId="0" borderId="22" xfId="0" quotePrefix="1" applyNumberFormat="1" applyFont="1" applyBorder="1" applyAlignment="1">
      <alignment horizontal="right" vertical="center"/>
    </xf>
    <xf numFmtId="4" fontId="8" fillId="0" borderId="22" xfId="0" applyNumberFormat="1" applyFont="1" applyBorder="1" applyAlignment="1">
      <alignment horizontal="center" vertical="center"/>
    </xf>
    <xf numFmtId="166" fontId="5" fillId="0" borderId="22" xfId="0" applyNumberFormat="1" applyFont="1" applyBorder="1" applyAlignment="1">
      <alignment horizontal="left" vertical="center"/>
    </xf>
    <xf numFmtId="4" fontId="5" fillId="0" borderId="22" xfId="0" quotePrefix="1" applyNumberFormat="1" applyFont="1" applyBorder="1" applyAlignment="1">
      <alignment horizontal="right" vertical="center"/>
    </xf>
    <xf numFmtId="166" fontId="5" fillId="0" borderId="22" xfId="0" applyNumberFormat="1" applyFont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left" vertical="center"/>
    </xf>
    <xf numFmtId="3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right" vertical="center"/>
    </xf>
    <xf numFmtId="0" fontId="5" fillId="0" borderId="16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2" borderId="25" xfId="0" applyFont="1" applyFill="1" applyBorder="1" applyAlignment="1">
      <alignment horizontal="left" vertical="center"/>
    </xf>
    <xf numFmtId="3" fontId="5" fillId="2" borderId="25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right" vertical="center"/>
    </xf>
    <xf numFmtId="0" fontId="5" fillId="2" borderId="2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vertical="center"/>
    </xf>
    <xf numFmtId="0" fontId="9" fillId="0" borderId="39" xfId="0" applyFont="1" applyBorder="1" applyAlignment="1">
      <alignment vertical="center"/>
    </xf>
    <xf numFmtId="0" fontId="9" fillId="0" borderId="38" xfId="0" applyFont="1" applyBorder="1" applyAlignment="1">
      <alignment horizontal="left" vertical="center"/>
    </xf>
    <xf numFmtId="3" fontId="11" fillId="0" borderId="38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8" xfId="0" applyFont="1" applyBorder="1" applyAlignment="1">
      <alignment horizontal="right" vertical="center"/>
    </xf>
    <xf numFmtId="166" fontId="5" fillId="0" borderId="19" xfId="0" applyNumberFormat="1" applyFont="1" applyBorder="1" applyAlignment="1">
      <alignment horizontal="left" vertical="center"/>
    </xf>
    <xf numFmtId="166" fontId="10" fillId="0" borderId="22" xfId="0" applyNumberFormat="1" applyFont="1" applyBorder="1" applyAlignment="1">
      <alignment horizontal="right" vertical="center"/>
    </xf>
    <xf numFmtId="0" fontId="5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horizontal="right" vertical="center"/>
    </xf>
    <xf numFmtId="4" fontId="5" fillId="0" borderId="22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left" vertical="center"/>
    </xf>
    <xf numFmtId="3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right" vertical="center"/>
    </xf>
    <xf numFmtId="0" fontId="5" fillId="0" borderId="28" xfId="0" applyFont="1" applyBorder="1" applyAlignment="1">
      <alignment vertical="center"/>
    </xf>
    <xf numFmtId="0" fontId="5" fillId="2" borderId="29" xfId="0" applyFont="1" applyFill="1" applyBorder="1" applyAlignment="1">
      <alignment horizontal="left" vertical="center"/>
    </xf>
    <xf numFmtId="3" fontId="5" fillId="2" borderId="29" xfId="0" applyNumberFormat="1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right" vertical="center"/>
    </xf>
    <xf numFmtId="0" fontId="5" fillId="2" borderId="29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left" vertical="center"/>
    </xf>
    <xf numFmtId="3" fontId="5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horizontal="right" vertical="center"/>
    </xf>
    <xf numFmtId="165" fontId="13" fillId="3" borderId="41" xfId="0" applyNumberFormat="1" applyFont="1" applyFill="1" applyBorder="1" applyAlignment="1">
      <alignment vertical="center"/>
    </xf>
    <xf numFmtId="165" fontId="13" fillId="3" borderId="29" xfId="0" applyNumberFormat="1" applyFont="1" applyFill="1" applyBorder="1" applyAlignment="1">
      <alignment vertical="center"/>
    </xf>
    <xf numFmtId="165" fontId="13" fillId="3" borderId="29" xfId="0" applyNumberFormat="1" applyFont="1" applyFill="1" applyBorder="1" applyAlignment="1">
      <alignment horizontal="center" vertical="center"/>
    </xf>
    <xf numFmtId="166" fontId="5" fillId="4" borderId="34" xfId="0" applyNumberFormat="1" applyFont="1" applyFill="1" applyBorder="1" applyAlignment="1">
      <alignment horizontal="center" vertical="center"/>
    </xf>
    <xf numFmtId="166" fontId="5" fillId="4" borderId="31" xfId="0" applyNumberFormat="1" applyFont="1" applyFill="1" applyBorder="1" applyAlignment="1">
      <alignment horizontal="center" vertical="center"/>
    </xf>
    <xf numFmtId="3" fontId="11" fillId="4" borderId="29" xfId="0" applyNumberFormat="1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right" vertical="center"/>
    </xf>
    <xf numFmtId="166" fontId="5" fillId="2" borderId="27" xfId="0" applyNumberFormat="1" applyFont="1" applyFill="1" applyBorder="1" applyAlignment="1">
      <alignment horizontal="center" vertical="center"/>
    </xf>
    <xf numFmtId="3" fontId="8" fillId="2" borderId="27" xfId="0" applyNumberFormat="1" applyFont="1" applyFill="1" applyBorder="1" applyAlignment="1">
      <alignment horizontal="center" vertical="center"/>
    </xf>
    <xf numFmtId="4" fontId="8" fillId="2" borderId="27" xfId="0" applyNumberFormat="1" applyFont="1" applyFill="1" applyBorder="1" applyAlignment="1">
      <alignment horizontal="right" vertical="center"/>
    </xf>
    <xf numFmtId="4" fontId="8" fillId="2" borderId="27" xfId="0" quotePrefix="1" applyNumberFormat="1" applyFont="1" applyFill="1" applyBorder="1" applyAlignment="1">
      <alignment horizontal="right" vertical="center"/>
    </xf>
    <xf numFmtId="3" fontId="8" fillId="0" borderId="27" xfId="0" applyNumberFormat="1" applyFont="1" applyBorder="1" applyAlignment="1">
      <alignment horizontal="center" vertical="center"/>
    </xf>
    <xf numFmtId="4" fontId="8" fillId="0" borderId="27" xfId="0" applyNumberFormat="1" applyFont="1" applyBorder="1" applyAlignment="1">
      <alignment horizontal="right" vertical="center"/>
    </xf>
    <xf numFmtId="166" fontId="10" fillId="5" borderId="27" xfId="0" applyNumberFormat="1" applyFont="1" applyFill="1" applyBorder="1" applyAlignment="1">
      <alignment horizontal="right" vertical="center"/>
    </xf>
    <xf numFmtId="3" fontId="8" fillId="5" borderId="27" xfId="0" applyNumberFormat="1" applyFont="1" applyFill="1" applyBorder="1" applyAlignment="1">
      <alignment horizontal="center" vertical="center"/>
    </xf>
    <xf numFmtId="4" fontId="8" fillId="5" borderId="27" xfId="0" applyNumberFormat="1" applyFont="1" applyFill="1" applyBorder="1" applyAlignment="1">
      <alignment horizontal="right" vertical="center"/>
    </xf>
    <xf numFmtId="4" fontId="8" fillId="5" borderId="27" xfId="0" quotePrefix="1" applyNumberFormat="1" applyFont="1" applyFill="1" applyBorder="1" applyAlignment="1">
      <alignment horizontal="right" vertical="center"/>
    </xf>
    <xf numFmtId="4" fontId="8" fillId="5" borderId="27" xfId="0" applyNumberFormat="1" applyFont="1" applyFill="1" applyBorder="1" applyAlignment="1">
      <alignment horizontal="center" vertical="center"/>
    </xf>
    <xf numFmtId="4" fontId="5" fillId="5" borderId="27" xfId="0" quotePrefix="1" applyNumberFormat="1" applyFont="1" applyFill="1" applyBorder="1" applyAlignment="1">
      <alignment horizontal="right" vertical="center"/>
    </xf>
    <xf numFmtId="166" fontId="10" fillId="2" borderId="27" xfId="0" applyNumberFormat="1" applyFont="1" applyFill="1" applyBorder="1" applyAlignment="1">
      <alignment horizontal="right" vertical="center"/>
    </xf>
    <xf numFmtId="4" fontId="8" fillId="2" borderId="27" xfId="0" applyNumberFormat="1" applyFont="1" applyFill="1" applyBorder="1" applyAlignment="1">
      <alignment horizontal="center" vertical="center"/>
    </xf>
    <xf numFmtId="4" fontId="5" fillId="2" borderId="27" xfId="0" quotePrefix="1" applyNumberFormat="1" applyFont="1" applyFill="1" applyBorder="1" applyAlignment="1">
      <alignment horizontal="right" vertical="center"/>
    </xf>
    <xf numFmtId="167" fontId="8" fillId="5" borderId="27" xfId="0" applyNumberFormat="1" applyFont="1" applyFill="1" applyBorder="1" applyAlignment="1">
      <alignment horizontal="right" vertical="center"/>
    </xf>
    <xf numFmtId="0" fontId="8" fillId="0" borderId="32" xfId="0" applyFont="1" applyBorder="1" applyAlignment="1">
      <alignment vertical="center"/>
    </xf>
    <xf numFmtId="166" fontId="5" fillId="0" borderId="27" xfId="0" applyNumberFormat="1" applyFont="1" applyBorder="1" applyAlignment="1">
      <alignment horizontal="right" vertical="center" wrapText="1"/>
    </xf>
    <xf numFmtId="4" fontId="5" fillId="0" borderId="27" xfId="0" applyNumberFormat="1" applyFont="1" applyBorder="1" applyAlignment="1">
      <alignment horizontal="center" vertical="center"/>
    </xf>
    <xf numFmtId="4" fontId="5" fillId="0" borderId="27" xfId="0" quotePrefix="1" applyNumberFormat="1" applyFont="1" applyBorder="1" applyAlignment="1">
      <alignment horizontal="right" vertical="center"/>
    </xf>
    <xf numFmtId="166" fontId="5" fillId="0" borderId="27" xfId="0" applyNumberFormat="1" applyFont="1" applyBorder="1" applyAlignment="1">
      <alignment horizontal="center" vertical="center" wrapText="1"/>
    </xf>
    <xf numFmtId="0" fontId="8" fillId="0" borderId="45" xfId="0" applyFont="1" applyBorder="1" applyAlignment="1">
      <alignment vertical="center"/>
    </xf>
    <xf numFmtId="166" fontId="8" fillId="0" borderId="46" xfId="0" applyNumberFormat="1" applyFont="1" applyBorder="1" applyAlignment="1">
      <alignment horizontal="right" vertical="center" wrapText="1"/>
    </xf>
    <xf numFmtId="3" fontId="8" fillId="0" borderId="46" xfId="0" applyNumberFormat="1" applyFont="1" applyBorder="1" applyAlignment="1">
      <alignment horizontal="center" vertical="center"/>
    </xf>
    <xf numFmtId="4" fontId="8" fillId="0" borderId="46" xfId="0" applyNumberFormat="1" applyFont="1" applyBorder="1" applyAlignment="1">
      <alignment horizontal="right" vertical="center"/>
    </xf>
    <xf numFmtId="4" fontId="5" fillId="0" borderId="46" xfId="0" applyNumberFormat="1" applyFont="1" applyBorder="1" applyAlignment="1">
      <alignment horizontal="center" vertical="center"/>
    </xf>
    <xf numFmtId="4" fontId="5" fillId="0" borderId="46" xfId="0" quotePrefix="1" applyNumberFormat="1" applyFont="1" applyBorder="1" applyAlignment="1">
      <alignment horizontal="right" vertical="center"/>
    </xf>
    <xf numFmtId="0" fontId="2" fillId="0" borderId="34" xfId="0" applyFont="1" applyBorder="1" applyAlignment="1">
      <alignment horizontal="right" vertical="center"/>
    </xf>
    <xf numFmtId="0" fontId="2" fillId="0" borderId="31" xfId="0" applyFont="1" applyBorder="1" applyAlignment="1">
      <alignment horizontal="left" vertical="center"/>
    </xf>
    <xf numFmtId="3" fontId="2" fillId="0" borderId="31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right" vertical="center"/>
    </xf>
    <xf numFmtId="0" fontId="13" fillId="0" borderId="31" xfId="0" applyFont="1" applyBorder="1" applyAlignment="1">
      <alignment horizontal="left" vertical="center"/>
    </xf>
    <xf numFmtId="165" fontId="8" fillId="5" borderId="23" xfId="0" quotePrefix="1" applyNumberFormat="1" applyFont="1" applyFill="1" applyBorder="1" applyAlignment="1" applyProtection="1">
      <alignment horizontal="center" vertical="center"/>
      <protection locked="0"/>
    </xf>
    <xf numFmtId="0" fontId="8" fillId="0" borderId="18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166" fontId="5" fillId="0" borderId="48" xfId="0" applyNumberFormat="1" applyFont="1" applyBorder="1" applyAlignment="1">
      <alignment horizontal="left" vertical="center"/>
    </xf>
    <xf numFmtId="4" fontId="8" fillId="0" borderId="49" xfId="0" applyNumberFormat="1" applyFont="1" applyBorder="1" applyAlignment="1">
      <alignment horizontal="right" vertical="center"/>
    </xf>
    <xf numFmtId="0" fontId="26" fillId="0" borderId="22" xfId="0" applyFont="1" applyBorder="1" applyAlignment="1">
      <alignment horizontal="right" vertical="center" wrapText="1"/>
    </xf>
    <xf numFmtId="0" fontId="2" fillId="0" borderId="22" xfId="0" applyFont="1" applyBorder="1" applyAlignment="1">
      <alignment horizontal="left" vertical="center"/>
    </xf>
    <xf numFmtId="0" fontId="30" fillId="0" borderId="22" xfId="0" applyFont="1" applyBorder="1" applyAlignment="1">
      <alignment horizontal="right" vertical="center" wrapText="1"/>
    </xf>
    <xf numFmtId="0" fontId="1" fillId="0" borderId="21" xfId="0" applyFont="1" applyBorder="1" applyAlignment="1">
      <alignment vertical="center"/>
    </xf>
    <xf numFmtId="166" fontId="29" fillId="0" borderId="22" xfId="0" applyNumberFormat="1" applyFont="1" applyBorder="1" applyAlignment="1">
      <alignment horizontal="right" vertical="center" wrapText="1"/>
    </xf>
    <xf numFmtId="166" fontId="5" fillId="0" borderId="22" xfId="0" applyNumberFormat="1" applyFont="1" applyBorder="1" applyAlignment="1">
      <alignment horizontal="right" vertical="center" wrapText="1"/>
    </xf>
    <xf numFmtId="4" fontId="5" fillId="0" borderId="22" xfId="0" applyNumberFormat="1" applyFont="1" applyBorder="1" applyAlignment="1">
      <alignment horizontal="center" vertical="center"/>
    </xf>
    <xf numFmtId="166" fontId="8" fillId="0" borderId="19" xfId="0" applyNumberFormat="1" applyFont="1" applyBorder="1" applyAlignment="1">
      <alignment horizontal="right" vertical="center"/>
    </xf>
    <xf numFmtId="4" fontId="8" fillId="0" borderId="19" xfId="0" quotePrefix="1" applyNumberFormat="1" applyFont="1" applyBorder="1" applyAlignment="1">
      <alignment horizontal="right" vertical="center"/>
    </xf>
    <xf numFmtId="166" fontId="8" fillId="0" borderId="22" xfId="0" applyNumberFormat="1" applyFont="1" applyBorder="1" applyAlignment="1">
      <alignment horizontal="right" vertical="center"/>
    </xf>
    <xf numFmtId="166" fontId="28" fillId="0" borderId="22" xfId="0" applyNumberFormat="1" applyFont="1" applyBorder="1" applyAlignment="1">
      <alignment horizontal="right" vertical="center"/>
    </xf>
    <xf numFmtId="3" fontId="12" fillId="0" borderId="22" xfId="0" applyNumberFormat="1" applyFont="1" applyBorder="1" applyAlignment="1">
      <alignment horizontal="center" vertical="center"/>
    </xf>
    <xf numFmtId="4" fontId="12" fillId="0" borderId="22" xfId="0" applyNumberFormat="1" applyFont="1" applyBorder="1" applyAlignment="1">
      <alignment horizontal="right" vertical="center"/>
    </xf>
    <xf numFmtId="4" fontId="12" fillId="0" borderId="22" xfId="0" quotePrefix="1" applyNumberFormat="1" applyFont="1" applyBorder="1" applyAlignment="1">
      <alignment horizontal="right" vertical="center"/>
    </xf>
    <xf numFmtId="4" fontId="12" fillId="0" borderId="22" xfId="0" applyNumberFormat="1" applyFont="1" applyBorder="1" applyAlignment="1">
      <alignment horizontal="center" vertical="center"/>
    </xf>
    <xf numFmtId="3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right" vertical="center"/>
    </xf>
    <xf numFmtId="2" fontId="9" fillId="0" borderId="19" xfId="0" applyNumberFormat="1" applyFont="1" applyBorder="1" applyAlignment="1" applyProtection="1">
      <alignment horizontal="center" vertical="center"/>
      <protection locked="0"/>
    </xf>
    <xf numFmtId="165" fontId="9" fillId="0" borderId="20" xfId="0" applyNumberFormat="1" applyFont="1" applyBorder="1" applyAlignment="1" applyProtection="1">
      <alignment horizontal="center" vertical="center"/>
      <protection locked="0"/>
    </xf>
    <xf numFmtId="166" fontId="8" fillId="0" borderId="38" xfId="0" applyNumberFormat="1" applyFont="1" applyBorder="1" applyAlignment="1">
      <alignment horizontal="right" vertical="center" wrapText="1"/>
    </xf>
    <xf numFmtId="3" fontId="8" fillId="0" borderId="38" xfId="0" applyNumberFormat="1" applyFont="1" applyBorder="1" applyAlignment="1">
      <alignment horizontal="center" vertical="center"/>
    </xf>
    <xf numFmtId="4" fontId="8" fillId="0" borderId="38" xfId="0" applyNumberFormat="1" applyFont="1" applyBorder="1" applyAlignment="1">
      <alignment horizontal="right" vertical="center"/>
    </xf>
    <xf numFmtId="4" fontId="8" fillId="0" borderId="38" xfId="0" quotePrefix="1" applyNumberFormat="1" applyFont="1" applyBorder="1" applyAlignment="1">
      <alignment horizontal="right" vertical="center"/>
    </xf>
    <xf numFmtId="167" fontId="8" fillId="0" borderId="38" xfId="0" quotePrefix="1" applyNumberFormat="1" applyFont="1" applyBorder="1" applyAlignment="1">
      <alignment horizontal="right" vertical="center"/>
    </xf>
    <xf numFmtId="4" fontId="8" fillId="0" borderId="38" xfId="0" applyNumberFormat="1" applyFont="1" applyBorder="1" applyAlignment="1">
      <alignment horizontal="center" vertical="center"/>
    </xf>
    <xf numFmtId="165" fontId="8" fillId="0" borderId="38" xfId="0" applyNumberFormat="1" applyFont="1" applyBorder="1" applyAlignment="1" applyProtection="1">
      <alignment horizontal="center" vertical="center"/>
      <protection locked="0"/>
    </xf>
    <xf numFmtId="165" fontId="8" fillId="0" borderId="40" xfId="0" quotePrefix="1" applyNumberFormat="1" applyFont="1" applyBorder="1" applyAlignment="1" applyProtection="1">
      <alignment horizontal="center" vertical="center"/>
      <protection locked="0"/>
    </xf>
    <xf numFmtId="0" fontId="9" fillId="4" borderId="41" xfId="0" applyFont="1" applyFill="1" applyBorder="1" applyAlignment="1">
      <alignment horizontal="left" vertical="center"/>
    </xf>
    <xf numFmtId="0" fontId="9" fillId="4" borderId="41" xfId="0" applyFont="1" applyFill="1" applyBorder="1" applyAlignment="1" applyProtection="1">
      <alignment horizontal="left" vertical="center"/>
      <protection locked="0"/>
    </xf>
    <xf numFmtId="3" fontId="9" fillId="4" borderId="29" xfId="0" applyNumberFormat="1" applyFont="1" applyFill="1" applyBorder="1" applyAlignment="1" applyProtection="1">
      <alignment horizontal="center" vertical="center"/>
      <protection locked="0"/>
    </xf>
    <xf numFmtId="0" fontId="9" fillId="4" borderId="29" xfId="0" applyFont="1" applyFill="1" applyBorder="1" applyAlignment="1" applyProtection="1">
      <alignment horizontal="center" vertical="center"/>
      <protection locked="0"/>
    </xf>
    <xf numFmtId="0" fontId="9" fillId="4" borderId="29" xfId="0" applyFont="1" applyFill="1" applyBorder="1" applyAlignment="1" applyProtection="1">
      <alignment horizontal="right" vertical="center"/>
      <protection locked="0"/>
    </xf>
    <xf numFmtId="2" fontId="9" fillId="4" borderId="29" xfId="0" applyNumberFormat="1" applyFont="1" applyFill="1" applyBorder="1" applyAlignment="1" applyProtection="1">
      <alignment horizontal="center" vertical="center"/>
      <protection locked="0"/>
    </xf>
    <xf numFmtId="166" fontId="14" fillId="0" borderId="22" xfId="0" applyNumberFormat="1" applyFont="1" applyBorder="1" applyAlignment="1">
      <alignment horizontal="right" vertical="center"/>
    </xf>
    <xf numFmtId="165" fontId="5" fillId="0" borderId="23" xfId="0" quotePrefix="1" applyNumberFormat="1" applyFont="1" applyBorder="1" applyAlignment="1" applyProtection="1">
      <alignment horizontal="center" vertical="center"/>
      <protection locked="0"/>
    </xf>
    <xf numFmtId="166" fontId="8" fillId="0" borderId="27" xfId="0" applyNumberFormat="1" applyFont="1" applyBorder="1" applyAlignment="1">
      <alignment horizontal="right" vertical="center"/>
    </xf>
    <xf numFmtId="4" fontId="8" fillId="0" borderId="27" xfId="0" quotePrefix="1" applyNumberFormat="1" applyFont="1" applyBorder="1" applyAlignment="1">
      <alignment horizontal="right" vertical="center"/>
    </xf>
    <xf numFmtId="4" fontId="8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2" fontId="2" fillId="0" borderId="2" xfId="0" applyNumberFormat="1" applyFont="1" applyBorder="1" applyAlignment="1" applyProtection="1">
      <alignment horizontal="center" vertical="center"/>
      <protection locked="0"/>
    </xf>
    <xf numFmtId="165" fontId="2" fillId="0" borderId="3" xfId="0" applyNumberFormat="1" applyFont="1" applyBorder="1" applyAlignment="1" applyProtection="1">
      <alignment horizontal="center" vertical="center"/>
      <protection locked="0"/>
    </xf>
    <xf numFmtId="166" fontId="10" fillId="0" borderId="27" xfId="0" applyNumberFormat="1" applyFont="1" applyBorder="1" applyAlignment="1">
      <alignment horizontal="right" vertical="center"/>
    </xf>
    <xf numFmtId="167" fontId="8" fillId="0" borderId="27" xfId="0" applyNumberFormat="1" applyFont="1" applyBorder="1" applyAlignment="1">
      <alignment horizontal="right" vertical="center"/>
    </xf>
    <xf numFmtId="168" fontId="5" fillId="0" borderId="27" xfId="0" applyNumberFormat="1" applyFont="1" applyBorder="1" applyAlignment="1" applyProtection="1">
      <alignment horizontal="center" vertical="center"/>
      <protection locked="0"/>
    </xf>
    <xf numFmtId="166" fontId="12" fillId="0" borderId="27" xfId="0" applyNumberFormat="1" applyFont="1" applyBorder="1" applyAlignment="1">
      <alignment horizontal="right" vertical="center"/>
    </xf>
    <xf numFmtId="4" fontId="12" fillId="0" borderId="27" xfId="0" applyNumberFormat="1" applyFont="1" applyBorder="1" applyAlignment="1">
      <alignment horizontal="center" vertical="center"/>
    </xf>
    <xf numFmtId="4" fontId="12" fillId="0" borderId="27" xfId="0" applyNumberFormat="1" applyFont="1" applyBorder="1" applyAlignment="1">
      <alignment horizontal="right" vertical="center"/>
    </xf>
    <xf numFmtId="4" fontId="12" fillId="0" borderId="27" xfId="0" quotePrefix="1" applyNumberFormat="1" applyFont="1" applyBorder="1" applyAlignment="1">
      <alignment horizontal="right" vertical="center"/>
    </xf>
    <xf numFmtId="2" fontId="12" fillId="0" borderId="27" xfId="0" applyNumberFormat="1" applyFont="1" applyBorder="1" applyAlignment="1" applyProtection="1">
      <alignment horizontal="center" vertical="center"/>
      <protection locked="0"/>
    </xf>
    <xf numFmtId="166" fontId="8" fillId="0" borderId="27" xfId="0" applyNumberFormat="1" applyFont="1" applyBorder="1" applyAlignment="1">
      <alignment horizontal="right" vertical="center" wrapText="1"/>
    </xf>
    <xf numFmtId="168" fontId="8" fillId="0" borderId="27" xfId="0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>
      <alignment horizontal="left" vertical="center" wrapText="1"/>
    </xf>
    <xf numFmtId="167" fontId="12" fillId="0" borderId="22" xfId="0" applyNumberFormat="1" applyFont="1" applyBorder="1" applyAlignment="1">
      <alignment horizontal="right" vertical="center"/>
    </xf>
    <xf numFmtId="0" fontId="8" fillId="0" borderId="9" xfId="0" applyFont="1" applyBorder="1" applyAlignment="1" applyProtection="1">
      <alignment vertical="center"/>
      <protection locked="0"/>
    </xf>
    <xf numFmtId="0" fontId="5" fillId="0" borderId="50" xfId="0" applyFont="1" applyBorder="1" applyAlignment="1" applyProtection="1">
      <alignment horizontal="center" vertical="center"/>
      <protection locked="0"/>
    </xf>
    <xf numFmtId="3" fontId="8" fillId="0" borderId="2" xfId="0" applyNumberFormat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2" xfId="0" quotePrefix="1" applyFont="1" applyBorder="1" applyAlignment="1" applyProtection="1">
      <alignment horizontal="center" vertical="center"/>
      <protection locked="0"/>
    </xf>
    <xf numFmtId="0" fontId="5" fillId="0" borderId="2" xfId="0" quotePrefix="1" applyFont="1" applyBorder="1" applyAlignment="1" applyProtection="1">
      <alignment horizontal="right" vertical="center"/>
      <protection locked="0"/>
    </xf>
    <xf numFmtId="2" fontId="5" fillId="0" borderId="2" xfId="0" applyNumberFormat="1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vertical="center"/>
      <protection locked="0"/>
    </xf>
    <xf numFmtId="0" fontId="5" fillId="0" borderId="51" xfId="0" applyFont="1" applyBorder="1" applyAlignment="1" applyProtection="1">
      <alignment horizontal="center" vertical="center"/>
      <protection locked="0"/>
    </xf>
    <xf numFmtId="165" fontId="5" fillId="0" borderId="5" xfId="0" applyNumberFormat="1" applyFont="1" applyBorder="1" applyAlignment="1" applyProtection="1">
      <alignment horizontal="center" vertical="center"/>
      <protection locked="0"/>
    </xf>
    <xf numFmtId="165" fontId="8" fillId="0" borderId="1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Font="1" applyProtection="1">
      <protection locked="0"/>
    </xf>
    <xf numFmtId="0" fontId="12" fillId="0" borderId="0" xfId="0" applyFont="1" applyAlignment="1" applyProtection="1">
      <alignment vertical="center"/>
      <protection locked="0"/>
    </xf>
    <xf numFmtId="4" fontId="8" fillId="0" borderId="0" xfId="0" applyNumberFormat="1" applyFont="1" applyAlignment="1">
      <alignment horizontal="right" vertical="center"/>
    </xf>
    <xf numFmtId="0" fontId="8" fillId="0" borderId="0" xfId="0" applyFont="1" applyAlignment="1" applyProtection="1">
      <alignment horizontal="center" vertical="center" wrapText="1"/>
      <protection locked="0"/>
    </xf>
    <xf numFmtId="0" fontId="9" fillId="4" borderId="15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3" fontId="8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quotePrefix="1" applyFont="1" applyAlignment="1" applyProtection="1">
      <alignment horizontal="center" vertical="center"/>
      <protection locked="0"/>
    </xf>
    <xf numFmtId="0" fontId="5" fillId="0" borderId="0" xfId="0" quotePrefix="1" applyFont="1" applyAlignment="1" applyProtection="1">
      <alignment horizontal="right" vertical="center"/>
      <protection locked="0"/>
    </xf>
    <xf numFmtId="2" fontId="5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165" fontId="13" fillId="3" borderId="28" xfId="0" applyNumberFormat="1" applyFont="1" applyFill="1" applyBorder="1" applyAlignment="1">
      <alignment vertical="center"/>
    </xf>
    <xf numFmtId="165" fontId="13" fillId="0" borderId="4" xfId="0" applyNumberFormat="1" applyFont="1" applyBorder="1" applyAlignment="1">
      <alignment vertical="center"/>
    </xf>
    <xf numFmtId="165" fontId="13" fillId="0" borderId="0" xfId="0" applyNumberFormat="1" applyFont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 applyProtection="1">
      <alignment horizontal="right" vertical="center"/>
      <protection locked="0"/>
    </xf>
    <xf numFmtId="165" fontId="13" fillId="0" borderId="5" xfId="0" applyNumberFormat="1" applyFont="1" applyBorder="1" applyAlignment="1" applyProtection="1">
      <alignment horizontal="center" vertical="center"/>
      <protection locked="0"/>
    </xf>
    <xf numFmtId="166" fontId="10" fillId="5" borderId="32" xfId="0" applyNumberFormat="1" applyFont="1" applyFill="1" applyBorder="1" applyAlignment="1">
      <alignment horizontal="right" vertical="center"/>
    </xf>
    <xf numFmtId="166" fontId="10" fillId="0" borderId="32" xfId="0" applyNumberFormat="1" applyFont="1" applyBorder="1" applyAlignment="1">
      <alignment horizontal="right" vertical="center"/>
    </xf>
    <xf numFmtId="0" fontId="1" fillId="7" borderId="1" xfId="0" applyFont="1" applyFill="1" applyBorder="1" applyAlignment="1" applyProtection="1">
      <alignment vertical="center"/>
      <protection locked="0"/>
    </xf>
    <xf numFmtId="0" fontId="1" fillId="7" borderId="2" xfId="0" applyFont="1" applyFill="1" applyBorder="1" applyAlignment="1" applyProtection="1">
      <alignment vertical="center"/>
      <protection locked="0"/>
    </xf>
    <xf numFmtId="0" fontId="2" fillId="7" borderId="2" xfId="0" applyFont="1" applyFill="1" applyBorder="1" applyAlignment="1" applyProtection="1">
      <alignment horizontal="center" vertical="center"/>
      <protection locked="0"/>
    </xf>
    <xf numFmtId="3" fontId="2" fillId="7" borderId="2" xfId="0" applyNumberFormat="1" applyFont="1" applyFill="1" applyBorder="1" applyAlignment="1" applyProtection="1">
      <alignment vertical="center"/>
      <protection locked="0"/>
    </xf>
    <xf numFmtId="3" fontId="3" fillId="7" borderId="2" xfId="0" applyNumberFormat="1" applyFont="1" applyFill="1" applyBorder="1" applyAlignment="1" applyProtection="1">
      <alignment vertical="center"/>
      <protection locked="0"/>
    </xf>
    <xf numFmtId="3" fontId="3" fillId="7" borderId="2" xfId="0" applyNumberFormat="1" applyFont="1" applyFill="1" applyBorder="1" applyAlignment="1" applyProtection="1">
      <alignment horizontal="center" vertical="center"/>
      <protection locked="0"/>
    </xf>
    <xf numFmtId="2" fontId="4" fillId="7" borderId="2" xfId="0" applyNumberFormat="1" applyFont="1" applyFill="1" applyBorder="1" applyAlignment="1" applyProtection="1">
      <alignment horizontal="center" vertical="center"/>
      <protection locked="0"/>
    </xf>
    <xf numFmtId="165" fontId="3" fillId="7" borderId="3" xfId="0" applyNumberFormat="1" applyFont="1" applyFill="1" applyBorder="1" applyAlignment="1" applyProtection="1">
      <alignment horizontal="center" vertical="center"/>
      <protection locked="0"/>
    </xf>
    <xf numFmtId="0" fontId="5" fillId="7" borderId="4" xfId="0" applyFont="1" applyFill="1" applyBorder="1" applyAlignment="1" applyProtection="1">
      <alignment horizontal="left" vertical="center"/>
      <protection locked="0"/>
    </xf>
    <xf numFmtId="14" fontId="6" fillId="7" borderId="0" xfId="0" applyNumberFormat="1" applyFont="1" applyFill="1" applyAlignment="1" applyProtection="1">
      <alignment horizontal="left" vertical="center"/>
      <protection locked="0"/>
    </xf>
    <xf numFmtId="0" fontId="2" fillId="7" borderId="0" xfId="0" applyFont="1" applyFill="1" applyAlignment="1" applyProtection="1">
      <alignment horizontal="center" vertical="center"/>
      <protection locked="0"/>
    </xf>
    <xf numFmtId="3" fontId="3" fillId="7" borderId="0" xfId="0" applyNumberFormat="1" applyFont="1" applyFill="1" applyAlignment="1" applyProtection="1">
      <alignment vertical="center"/>
      <protection locked="0"/>
    </xf>
    <xf numFmtId="3" fontId="3" fillId="7" borderId="0" xfId="0" applyNumberFormat="1" applyFont="1" applyFill="1" applyAlignment="1" applyProtection="1">
      <alignment horizontal="center" vertical="center"/>
      <protection locked="0"/>
    </xf>
    <xf numFmtId="2" fontId="4" fillId="7" borderId="0" xfId="0" applyNumberFormat="1" applyFont="1" applyFill="1" applyAlignment="1" applyProtection="1">
      <alignment horizontal="center" vertical="center"/>
      <protection locked="0"/>
    </xf>
    <xf numFmtId="165" fontId="3" fillId="7" borderId="5" xfId="0" applyNumberFormat="1" applyFont="1" applyFill="1" applyBorder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left" vertical="center"/>
      <protection locked="0"/>
    </xf>
    <xf numFmtId="0" fontId="7" fillId="7" borderId="0" xfId="0" applyFont="1" applyFill="1" applyAlignment="1" applyProtection="1">
      <alignment horizontal="left" vertical="center"/>
      <protection locked="0"/>
    </xf>
    <xf numFmtId="3" fontId="3" fillId="7" borderId="0" xfId="0" applyNumberFormat="1" applyFont="1" applyFill="1" applyAlignment="1" applyProtection="1">
      <alignment horizontal="right" vertical="center"/>
      <protection locked="0"/>
    </xf>
    <xf numFmtId="0" fontId="1" fillId="7" borderId="6" xfId="0" applyFont="1" applyFill="1" applyBorder="1" applyAlignment="1" applyProtection="1">
      <alignment vertical="center"/>
      <protection locked="0"/>
    </xf>
    <xf numFmtId="0" fontId="2" fillId="7" borderId="7" xfId="0" applyFont="1" applyFill="1" applyBorder="1" applyAlignment="1" applyProtection="1">
      <alignment horizontal="left" vertical="center"/>
      <protection locked="0"/>
    </xf>
    <xf numFmtId="0" fontId="2" fillId="7" borderId="7" xfId="0" applyFont="1" applyFill="1" applyBorder="1" applyAlignment="1" applyProtection="1">
      <alignment horizontal="center" vertical="center"/>
      <protection locked="0"/>
    </xf>
    <xf numFmtId="3" fontId="3" fillId="7" borderId="7" xfId="0" applyNumberFormat="1" applyFont="1" applyFill="1" applyBorder="1" applyAlignment="1" applyProtection="1">
      <alignment horizontal="right" vertical="center"/>
      <protection locked="0"/>
    </xf>
    <xf numFmtId="3" fontId="3" fillId="7" borderId="7" xfId="0" applyNumberFormat="1" applyFont="1" applyFill="1" applyBorder="1" applyAlignment="1" applyProtection="1">
      <alignment horizontal="center" vertical="center"/>
      <protection locked="0"/>
    </xf>
    <xf numFmtId="2" fontId="4" fillId="7" borderId="7" xfId="0" applyNumberFormat="1" applyFont="1" applyFill="1" applyBorder="1" applyAlignment="1" applyProtection="1">
      <alignment horizontal="center" vertical="center"/>
      <protection locked="0"/>
    </xf>
    <xf numFmtId="165" fontId="3" fillId="7" borderId="8" xfId="0" applyNumberFormat="1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vertical="center"/>
      <protection locked="0"/>
    </xf>
    <xf numFmtId="0" fontId="34" fillId="0" borderId="0" xfId="0" applyFont="1" applyAlignment="1" applyProtection="1">
      <alignment vertical="center"/>
      <protection locked="0"/>
    </xf>
    <xf numFmtId="0" fontId="32" fillId="0" borderId="0" xfId="0" applyFont="1" applyProtection="1">
      <protection locked="0"/>
    </xf>
    <xf numFmtId="0" fontId="32" fillId="0" borderId="0" xfId="0" applyFont="1"/>
    <xf numFmtId="4" fontId="8" fillId="8" borderId="22" xfId="0" quotePrefix="1" applyNumberFormat="1" applyFont="1" applyFill="1" applyBorder="1" applyAlignment="1">
      <alignment horizontal="right" vertical="center"/>
    </xf>
    <xf numFmtId="4" fontId="8" fillId="0" borderId="22" xfId="0" quotePrefix="1" applyNumberFormat="1" applyFont="1" applyBorder="1" applyAlignment="1">
      <alignment horizontal="center" vertical="center"/>
    </xf>
    <xf numFmtId="165" fontId="8" fillId="8" borderId="22" xfId="0" applyNumberFormat="1" applyFont="1" applyFill="1" applyBorder="1" applyAlignment="1" applyProtection="1">
      <alignment horizontal="center" vertical="center"/>
      <protection locked="0"/>
    </xf>
    <xf numFmtId="165" fontId="5" fillId="8" borderId="17" xfId="0" quotePrefix="1" applyNumberFormat="1" applyFont="1" applyFill="1" applyBorder="1" applyAlignment="1" applyProtection="1">
      <alignment horizontal="center" vertical="center"/>
      <protection locked="0"/>
    </xf>
    <xf numFmtId="165" fontId="2" fillId="8" borderId="17" xfId="0" applyNumberFormat="1" applyFont="1" applyFill="1" applyBorder="1" applyAlignment="1" applyProtection="1">
      <alignment horizontal="center" vertical="center"/>
      <protection locked="0"/>
    </xf>
    <xf numFmtId="169" fontId="2" fillId="8" borderId="17" xfId="0" quotePrefix="1" applyNumberFormat="1" applyFont="1" applyFill="1" applyBorder="1" applyAlignment="1" applyProtection="1">
      <alignment horizontal="center" vertical="center"/>
      <protection locked="0"/>
    </xf>
    <xf numFmtId="0" fontId="12" fillId="8" borderId="0" xfId="0" applyFont="1" applyFill="1" applyAlignment="1" applyProtection="1">
      <alignment vertical="center"/>
      <protection locked="0"/>
    </xf>
    <xf numFmtId="0" fontId="33" fillId="8" borderId="0" xfId="0" applyFont="1" applyFill="1" applyAlignment="1" applyProtection="1">
      <alignment vertical="center"/>
      <protection locked="0"/>
    </xf>
    <xf numFmtId="165" fontId="13" fillId="8" borderId="37" xfId="0" applyNumberFormat="1" applyFont="1" applyFill="1" applyBorder="1" applyAlignment="1" applyProtection="1">
      <alignment horizontal="center" vertical="center"/>
      <protection locked="0"/>
    </xf>
    <xf numFmtId="0" fontId="35" fillId="0" borderId="0" xfId="0" applyFont="1" applyProtection="1">
      <protection locked="0"/>
    </xf>
    <xf numFmtId="0" fontId="36" fillId="0" borderId="0" xfId="0" applyFont="1" applyProtection="1">
      <protection locked="0"/>
    </xf>
    <xf numFmtId="10" fontId="36" fillId="0" borderId="0" xfId="24" applyNumberFormat="1" applyFont="1" applyProtection="1">
      <protection locked="0"/>
    </xf>
    <xf numFmtId="169" fontId="36" fillId="0" borderId="0" xfId="0" applyNumberFormat="1" applyFont="1" applyProtection="1">
      <protection locked="0"/>
    </xf>
    <xf numFmtId="2" fontId="31" fillId="0" borderId="0" xfId="0" applyNumberFormat="1" applyFont="1" applyProtection="1">
      <protection locked="0"/>
    </xf>
    <xf numFmtId="169" fontId="31" fillId="0" borderId="0" xfId="0" applyNumberFormat="1" applyFont="1" applyProtection="1">
      <protection locked="0"/>
    </xf>
    <xf numFmtId="10" fontId="31" fillId="0" borderId="0" xfId="24" applyNumberFormat="1" applyFont="1" applyProtection="1">
      <protection locked="0"/>
    </xf>
    <xf numFmtId="169" fontId="12" fillId="0" borderId="0" xfId="0" applyNumberFormat="1" applyFont="1" applyAlignment="1" applyProtection="1">
      <alignment vertical="center"/>
      <protection locked="0"/>
    </xf>
    <xf numFmtId="165" fontId="8" fillId="9" borderId="22" xfId="0" applyNumberFormat="1" applyFont="1" applyFill="1" applyBorder="1" applyAlignment="1" applyProtection="1">
      <alignment horizontal="center" vertical="center"/>
      <protection locked="0"/>
    </xf>
    <xf numFmtId="169" fontId="33" fillId="0" borderId="0" xfId="0" applyNumberFormat="1" applyFont="1" applyAlignment="1" applyProtection="1">
      <alignment vertical="center"/>
      <protection locked="0"/>
    </xf>
    <xf numFmtId="164" fontId="0" fillId="0" borderId="0" xfId="25" applyFont="1" applyProtection="1">
      <protection locked="0"/>
    </xf>
    <xf numFmtId="164" fontId="5" fillId="0" borderId="0" xfId="25" quotePrefix="1" applyFont="1" applyAlignment="1" applyProtection="1">
      <alignment horizontal="center" vertical="center"/>
      <protection locked="0"/>
    </xf>
    <xf numFmtId="164" fontId="8" fillId="0" borderId="0" xfId="25" applyFont="1" applyAlignment="1" applyProtection="1">
      <alignment vertical="center"/>
      <protection locked="0"/>
    </xf>
    <xf numFmtId="164" fontId="1" fillId="0" borderId="0" xfId="25" applyFont="1" applyAlignment="1" applyProtection="1">
      <alignment vertical="center"/>
      <protection locked="0"/>
    </xf>
    <xf numFmtId="164" fontId="8" fillId="0" borderId="0" xfId="25" applyFont="1" applyAlignment="1">
      <alignment horizontal="right" vertical="center"/>
    </xf>
    <xf numFmtId="164" fontId="2" fillId="0" borderId="0" xfId="25" applyFont="1" applyAlignment="1" applyProtection="1">
      <alignment horizontal="center" vertical="center"/>
      <protection locked="0"/>
    </xf>
    <xf numFmtId="164" fontId="0" fillId="0" borderId="0" xfId="0" applyNumberFormat="1" applyProtection="1">
      <protection locked="0"/>
    </xf>
    <xf numFmtId="164" fontId="36" fillId="0" borderId="0" xfId="25" applyFont="1" applyProtection="1">
      <protection locked="0"/>
    </xf>
    <xf numFmtId="164" fontId="31" fillId="0" borderId="0" xfId="25" applyFont="1" applyProtection="1">
      <protection locked="0"/>
    </xf>
    <xf numFmtId="0" fontId="41" fillId="7" borderId="1" xfId="0" applyFont="1" applyFill="1" applyBorder="1" applyAlignment="1" applyProtection="1">
      <alignment vertical="center"/>
      <protection locked="0"/>
    </xf>
    <xf numFmtId="0" fontId="41" fillId="7" borderId="2" xfId="0" applyFont="1" applyFill="1" applyBorder="1" applyAlignment="1" applyProtection="1">
      <alignment vertical="center"/>
      <protection locked="0"/>
    </xf>
    <xf numFmtId="0" fontId="39" fillId="7" borderId="2" xfId="0" applyFont="1" applyFill="1" applyBorder="1" applyAlignment="1" applyProtection="1">
      <alignment horizontal="center" vertical="center"/>
      <protection locked="0"/>
    </xf>
    <xf numFmtId="3" fontId="39" fillId="7" borderId="2" xfId="0" applyNumberFormat="1" applyFont="1" applyFill="1" applyBorder="1" applyAlignment="1" applyProtection="1">
      <alignment vertical="center"/>
      <protection locked="0"/>
    </xf>
    <xf numFmtId="3" fontId="38" fillId="7" borderId="2" xfId="0" applyNumberFormat="1" applyFont="1" applyFill="1" applyBorder="1" applyAlignment="1" applyProtection="1">
      <alignment vertical="center"/>
      <protection locked="0"/>
    </xf>
    <xf numFmtId="3" fontId="38" fillId="7" borderId="2" xfId="0" applyNumberFormat="1" applyFont="1" applyFill="1" applyBorder="1" applyAlignment="1" applyProtection="1">
      <alignment horizontal="center" vertical="center"/>
      <protection locked="0"/>
    </xf>
    <xf numFmtId="2" fontId="42" fillId="7" borderId="2" xfId="0" applyNumberFormat="1" applyFont="1" applyFill="1" applyBorder="1" applyAlignment="1" applyProtection="1">
      <alignment horizontal="center" vertical="center"/>
      <protection locked="0"/>
    </xf>
    <xf numFmtId="165" fontId="38" fillId="7" borderId="3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vertical="center"/>
      <protection locked="0"/>
    </xf>
    <xf numFmtId="0" fontId="39" fillId="7" borderId="4" xfId="0" applyFont="1" applyFill="1" applyBorder="1" applyAlignment="1" applyProtection="1">
      <alignment horizontal="left" vertical="center"/>
      <protection locked="0"/>
    </xf>
    <xf numFmtId="14" fontId="44" fillId="7" borderId="0" xfId="0" applyNumberFormat="1" applyFont="1" applyFill="1" applyAlignment="1" applyProtection="1">
      <alignment horizontal="left" vertical="center"/>
      <protection locked="0"/>
    </xf>
    <xf numFmtId="0" fontId="39" fillId="7" borderId="0" xfId="0" applyFont="1" applyFill="1" applyAlignment="1" applyProtection="1">
      <alignment horizontal="center" vertical="center"/>
      <protection locked="0"/>
    </xf>
    <xf numFmtId="3" fontId="38" fillId="7" borderId="0" xfId="0" applyNumberFormat="1" applyFont="1" applyFill="1" applyAlignment="1" applyProtection="1">
      <alignment vertical="center"/>
      <protection locked="0"/>
    </xf>
    <xf numFmtId="3" fontId="38" fillId="7" borderId="0" xfId="0" applyNumberFormat="1" applyFont="1" applyFill="1" applyAlignment="1" applyProtection="1">
      <alignment horizontal="center" vertical="center"/>
      <protection locked="0"/>
    </xf>
    <xf numFmtId="2" fontId="42" fillId="7" borderId="0" xfId="0" applyNumberFormat="1" applyFont="1" applyFill="1" applyAlignment="1" applyProtection="1">
      <alignment horizontal="center" vertical="center"/>
      <protection locked="0"/>
    </xf>
    <xf numFmtId="165" fontId="38" fillId="7" borderId="5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left" vertical="center"/>
      <protection locked="0"/>
    </xf>
    <xf numFmtId="0" fontId="45" fillId="7" borderId="0" xfId="0" applyFont="1" applyFill="1" applyAlignment="1" applyProtection="1">
      <alignment horizontal="left" vertical="center"/>
      <protection locked="0"/>
    </xf>
    <xf numFmtId="3" fontId="38" fillId="7" borderId="0" xfId="0" applyNumberFormat="1" applyFont="1" applyFill="1" applyAlignment="1" applyProtection="1">
      <alignment horizontal="right" vertical="center"/>
      <protection locked="0"/>
    </xf>
    <xf numFmtId="0" fontId="41" fillId="7" borderId="6" xfId="0" applyFont="1" applyFill="1" applyBorder="1" applyAlignment="1" applyProtection="1">
      <alignment vertical="center"/>
      <protection locked="0"/>
    </xf>
    <xf numFmtId="0" fontId="39" fillId="7" borderId="7" xfId="0" applyFont="1" applyFill="1" applyBorder="1" applyAlignment="1" applyProtection="1">
      <alignment horizontal="left" vertical="center"/>
      <protection locked="0"/>
    </xf>
    <xf numFmtId="0" fontId="39" fillId="7" borderId="7" xfId="0" applyFont="1" applyFill="1" applyBorder="1" applyAlignment="1" applyProtection="1">
      <alignment horizontal="center" vertical="center"/>
      <protection locked="0"/>
    </xf>
    <xf numFmtId="3" fontId="38" fillId="7" borderId="7" xfId="0" applyNumberFormat="1" applyFont="1" applyFill="1" applyBorder="1" applyAlignment="1" applyProtection="1">
      <alignment horizontal="right" vertical="center"/>
      <protection locked="0"/>
    </xf>
    <xf numFmtId="3" fontId="38" fillId="7" borderId="7" xfId="0" applyNumberFormat="1" applyFont="1" applyFill="1" applyBorder="1" applyAlignment="1" applyProtection="1">
      <alignment horizontal="center" vertical="center"/>
      <protection locked="0"/>
    </xf>
    <xf numFmtId="2" fontId="42" fillId="7" borderId="7" xfId="0" applyNumberFormat="1" applyFont="1" applyFill="1" applyBorder="1" applyAlignment="1" applyProtection="1">
      <alignment horizontal="center" vertical="center"/>
      <protection locked="0"/>
    </xf>
    <xf numFmtId="165" fontId="38" fillId="7" borderId="8" xfId="0" applyNumberFormat="1" applyFont="1" applyFill="1" applyBorder="1" applyAlignment="1" applyProtection="1">
      <alignment horizontal="center" vertical="center"/>
      <protection locked="0"/>
    </xf>
    <xf numFmtId="0" fontId="39" fillId="3" borderId="10" xfId="0" applyFont="1" applyFill="1" applyBorder="1" applyAlignment="1" applyProtection="1">
      <alignment horizontal="center" vertical="center"/>
      <protection locked="0"/>
    </xf>
    <xf numFmtId="3" fontId="39" fillId="3" borderId="10" xfId="0" applyNumberFormat="1" applyFont="1" applyFill="1" applyBorder="1" applyAlignment="1" applyProtection="1">
      <alignment horizontal="center" vertical="center"/>
      <protection locked="0"/>
    </xf>
    <xf numFmtId="2" fontId="39" fillId="3" borderId="10" xfId="0" applyNumberFormat="1" applyFont="1" applyFill="1" applyBorder="1" applyAlignment="1" applyProtection="1">
      <alignment horizontal="center" vertical="center"/>
      <protection locked="0"/>
    </xf>
    <xf numFmtId="165" fontId="39" fillId="3" borderId="11" xfId="0" applyNumberFormat="1" applyFont="1" applyFill="1" applyBorder="1" applyAlignment="1" applyProtection="1">
      <alignment horizontal="center" vertical="center"/>
      <protection locked="0"/>
    </xf>
    <xf numFmtId="0" fontId="39" fillId="3" borderId="13" xfId="0" applyFont="1" applyFill="1" applyBorder="1" applyAlignment="1" applyProtection="1">
      <alignment horizontal="center" vertical="center"/>
      <protection locked="0"/>
    </xf>
    <xf numFmtId="3" fontId="41" fillId="3" borderId="13" xfId="0" applyNumberFormat="1" applyFont="1" applyFill="1" applyBorder="1" applyAlignment="1" applyProtection="1">
      <alignment horizontal="center" vertical="center"/>
      <protection locked="0"/>
    </xf>
    <xf numFmtId="2" fontId="39" fillId="3" borderId="13" xfId="0" applyNumberFormat="1" applyFont="1" applyFill="1" applyBorder="1" applyAlignment="1" applyProtection="1">
      <alignment horizontal="center" vertical="center"/>
      <protection locked="0"/>
    </xf>
    <xf numFmtId="165" fontId="39" fillId="3" borderId="14" xfId="0" applyNumberFormat="1" applyFont="1" applyFill="1" applyBorder="1" applyAlignment="1" applyProtection="1">
      <alignment horizontal="center" vertical="center"/>
      <protection locked="0"/>
    </xf>
    <xf numFmtId="0" fontId="41" fillId="0" borderId="9" xfId="0" applyFont="1" applyBorder="1" applyAlignment="1" applyProtection="1">
      <alignment vertical="center"/>
      <protection locked="0"/>
    </xf>
    <xf numFmtId="3" fontId="41" fillId="0" borderId="2" xfId="0" applyNumberFormat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 applyProtection="1">
      <alignment horizontal="center" vertical="center"/>
      <protection locked="0"/>
    </xf>
    <xf numFmtId="0" fontId="39" fillId="0" borderId="2" xfId="0" quotePrefix="1" applyFont="1" applyBorder="1" applyAlignment="1" applyProtection="1">
      <alignment horizontal="center" vertical="center"/>
      <protection locked="0"/>
    </xf>
    <xf numFmtId="0" fontId="39" fillId="0" borderId="2" xfId="0" quotePrefix="1" applyFont="1" applyBorder="1" applyAlignment="1" applyProtection="1">
      <alignment horizontal="right" vertical="center"/>
      <protection locked="0"/>
    </xf>
    <xf numFmtId="2" fontId="39" fillId="0" borderId="2" xfId="0" applyNumberFormat="1" applyFont="1" applyBorder="1" applyAlignment="1" applyProtection="1">
      <alignment horizontal="center" vertical="center"/>
      <protection locked="0"/>
    </xf>
    <xf numFmtId="165" fontId="39" fillId="0" borderId="3" xfId="0" applyNumberFormat="1" applyFont="1" applyBorder="1" applyAlignment="1" applyProtection="1">
      <alignment horizontal="center" vertical="center"/>
      <protection locked="0"/>
    </xf>
    <xf numFmtId="0" fontId="40" fillId="4" borderId="15" xfId="0" applyFont="1" applyFill="1" applyBorder="1" applyAlignment="1">
      <alignment horizontal="left" vertical="center"/>
    </xf>
    <xf numFmtId="3" fontId="46" fillId="4" borderId="29" xfId="0" applyNumberFormat="1" applyFont="1" applyFill="1" applyBorder="1" applyAlignment="1">
      <alignment horizontal="center" vertical="center"/>
    </xf>
    <xf numFmtId="0" fontId="40" fillId="4" borderId="29" xfId="0" applyFont="1" applyFill="1" applyBorder="1" applyAlignment="1">
      <alignment horizontal="center" vertical="center"/>
    </xf>
    <xf numFmtId="0" fontId="40" fillId="4" borderId="29" xfId="0" applyFont="1" applyFill="1" applyBorder="1" applyAlignment="1">
      <alignment horizontal="right" vertical="center"/>
    </xf>
    <xf numFmtId="2" fontId="46" fillId="4" borderId="29" xfId="0" applyNumberFormat="1" applyFont="1" applyFill="1" applyBorder="1" applyAlignment="1" applyProtection="1">
      <alignment horizontal="center" vertical="center"/>
      <protection locked="0"/>
    </xf>
    <xf numFmtId="165" fontId="40" fillId="4" borderId="30" xfId="0" applyNumberFormat="1" applyFont="1" applyFill="1" applyBorder="1" applyAlignment="1" applyProtection="1">
      <alignment horizontal="center" vertical="center"/>
      <protection locked="0"/>
    </xf>
    <xf numFmtId="0" fontId="41" fillId="0" borderId="4" xfId="0" applyFont="1" applyBorder="1" applyAlignment="1">
      <alignment vertical="center"/>
    </xf>
    <xf numFmtId="3" fontId="40" fillId="0" borderId="43" xfId="0" applyNumberFormat="1" applyFont="1" applyBorder="1" applyAlignment="1">
      <alignment horizontal="center" vertical="center"/>
    </xf>
    <xf numFmtId="0" fontId="40" fillId="0" borderId="43" xfId="0" applyFont="1" applyBorder="1" applyAlignment="1">
      <alignment horizontal="center" vertical="center"/>
    </xf>
    <xf numFmtId="0" fontId="40" fillId="0" borderId="43" xfId="0" applyFont="1" applyBorder="1" applyAlignment="1">
      <alignment horizontal="right" vertical="center"/>
    </xf>
    <xf numFmtId="2" fontId="40" fillId="0" borderId="43" xfId="0" applyNumberFormat="1" applyFont="1" applyBorder="1" applyAlignment="1" applyProtection="1">
      <alignment horizontal="center" vertical="center"/>
      <protection locked="0"/>
    </xf>
    <xf numFmtId="165" fontId="40" fillId="0" borderId="44" xfId="0" applyNumberFormat="1" applyFont="1" applyBorder="1" applyAlignment="1" applyProtection="1">
      <alignment horizontal="center" vertical="center"/>
      <protection locked="0"/>
    </xf>
    <xf numFmtId="3" fontId="40" fillId="0" borderId="19" xfId="0" applyNumberFormat="1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19" xfId="0" applyFont="1" applyBorder="1" applyAlignment="1">
      <alignment horizontal="right" vertical="center"/>
    </xf>
    <xf numFmtId="2" fontId="40" fillId="0" borderId="19" xfId="0" applyNumberFormat="1" applyFont="1" applyBorder="1" applyAlignment="1" applyProtection="1">
      <alignment horizontal="center" vertical="center"/>
      <protection locked="0"/>
    </xf>
    <xf numFmtId="165" fontId="40" fillId="0" borderId="20" xfId="0" applyNumberFormat="1" applyFont="1" applyBorder="1" applyAlignment="1" applyProtection="1">
      <alignment horizontal="center" vertical="center"/>
      <protection locked="0"/>
    </xf>
    <xf numFmtId="3" fontId="41" fillId="0" borderId="19" xfId="0" applyNumberFormat="1" applyFont="1" applyBorder="1" applyAlignment="1">
      <alignment horizontal="center" vertical="center"/>
    </xf>
    <xf numFmtId="4" fontId="41" fillId="0" borderId="19" xfId="0" applyNumberFormat="1" applyFont="1" applyBorder="1" applyAlignment="1">
      <alignment horizontal="right" vertical="center"/>
    </xf>
    <xf numFmtId="4" fontId="41" fillId="0" borderId="19" xfId="0" quotePrefix="1" applyNumberFormat="1" applyFont="1" applyBorder="1" applyAlignment="1">
      <alignment horizontal="right" vertical="center"/>
    </xf>
    <xf numFmtId="4" fontId="41" fillId="0" borderId="19" xfId="0" applyNumberFormat="1" applyFont="1" applyBorder="1" applyAlignment="1">
      <alignment horizontal="center" vertical="center"/>
    </xf>
    <xf numFmtId="4" fontId="41" fillId="0" borderId="22" xfId="0" quotePrefix="1" applyNumberFormat="1" applyFont="1" applyBorder="1" applyAlignment="1">
      <alignment horizontal="right" vertical="center"/>
    </xf>
    <xf numFmtId="165" fontId="41" fillId="0" borderId="22" xfId="0" applyNumberFormat="1" applyFont="1" applyBorder="1" applyAlignment="1" applyProtection="1">
      <alignment horizontal="center" vertical="center"/>
      <protection locked="0"/>
    </xf>
    <xf numFmtId="165" fontId="41" fillId="0" borderId="20" xfId="0" quotePrefix="1" applyNumberFormat="1" applyFont="1" applyBorder="1" applyAlignment="1" applyProtection="1">
      <alignment horizontal="center" vertical="center"/>
      <protection locked="0"/>
    </xf>
    <xf numFmtId="166" fontId="41" fillId="0" borderId="22" xfId="0" applyNumberFormat="1" applyFont="1" applyBorder="1" applyAlignment="1">
      <alignment horizontal="right" vertical="center" wrapText="1"/>
    </xf>
    <xf numFmtId="3" fontId="41" fillId="0" borderId="22" xfId="0" applyNumberFormat="1" applyFont="1" applyBorder="1" applyAlignment="1">
      <alignment horizontal="center" vertical="center"/>
    </xf>
    <xf numFmtId="4" fontId="41" fillId="0" borderId="22" xfId="0" applyNumberFormat="1" applyFont="1" applyBorder="1" applyAlignment="1">
      <alignment horizontal="right" vertical="center"/>
    </xf>
    <xf numFmtId="167" fontId="41" fillId="0" borderId="22" xfId="0" quotePrefix="1" applyNumberFormat="1" applyFont="1" applyBorder="1" applyAlignment="1">
      <alignment horizontal="right" vertical="center"/>
    </xf>
    <xf numFmtId="4" fontId="41" fillId="0" borderId="22" xfId="0" applyNumberFormat="1" applyFont="1" applyBorder="1" applyAlignment="1">
      <alignment horizontal="center" vertical="center"/>
    </xf>
    <xf numFmtId="165" fontId="41" fillId="0" borderId="23" xfId="0" quotePrefix="1" applyNumberFormat="1" applyFont="1" applyBorder="1" applyAlignment="1" applyProtection="1">
      <alignment horizontal="center" vertical="center"/>
      <protection locked="0"/>
    </xf>
    <xf numFmtId="166" fontId="41" fillId="0" borderId="38" xfId="0" applyNumberFormat="1" applyFont="1" applyBorder="1" applyAlignment="1">
      <alignment horizontal="right" vertical="center" wrapText="1"/>
    </xf>
    <xf numFmtId="3" fontId="41" fillId="0" borderId="38" xfId="0" applyNumberFormat="1" applyFont="1" applyBorder="1" applyAlignment="1">
      <alignment horizontal="center" vertical="center"/>
    </xf>
    <xf numFmtId="4" fontId="41" fillId="0" borderId="38" xfId="0" applyNumberFormat="1" applyFont="1" applyBorder="1" applyAlignment="1">
      <alignment horizontal="right" vertical="center"/>
    </xf>
    <xf numFmtId="4" fontId="41" fillId="0" borderId="38" xfId="0" quotePrefix="1" applyNumberFormat="1" applyFont="1" applyBorder="1" applyAlignment="1">
      <alignment horizontal="right" vertical="center"/>
    </xf>
    <xf numFmtId="167" fontId="41" fillId="0" borderId="38" xfId="0" quotePrefix="1" applyNumberFormat="1" applyFont="1" applyBorder="1" applyAlignment="1">
      <alignment horizontal="right" vertical="center"/>
    </xf>
    <xf numFmtId="4" fontId="41" fillId="0" borderId="38" xfId="0" applyNumberFormat="1" applyFont="1" applyBorder="1" applyAlignment="1">
      <alignment horizontal="center" vertical="center"/>
    </xf>
    <xf numFmtId="165" fontId="41" fillId="0" borderId="38" xfId="0" applyNumberFormat="1" applyFont="1" applyBorder="1" applyAlignment="1" applyProtection="1">
      <alignment horizontal="center" vertical="center"/>
      <protection locked="0"/>
    </xf>
    <xf numFmtId="165" fontId="41" fillId="0" borderId="40" xfId="0" quotePrefix="1" applyNumberFormat="1" applyFont="1" applyBorder="1" applyAlignment="1" applyProtection="1">
      <alignment horizontal="center" vertical="center"/>
      <protection locked="0"/>
    </xf>
    <xf numFmtId="0" fontId="39" fillId="0" borderId="15" xfId="0" applyFont="1" applyBorder="1" applyAlignment="1">
      <alignment horizontal="right" vertical="center"/>
    </xf>
    <xf numFmtId="3" fontId="39" fillId="0" borderId="16" xfId="0" applyNumberFormat="1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16" xfId="0" applyFont="1" applyBorder="1" applyAlignment="1">
      <alignment horizontal="right" vertical="center"/>
    </xf>
    <xf numFmtId="2" fontId="39" fillId="0" borderId="16" xfId="0" applyNumberFormat="1" applyFont="1" applyBorder="1" applyAlignment="1" applyProtection="1">
      <alignment horizontal="center" vertical="center"/>
      <protection locked="0"/>
    </xf>
    <xf numFmtId="165" fontId="39" fillId="8" borderId="17" xfId="0" applyNumberFormat="1" applyFont="1" applyFill="1" applyBorder="1" applyAlignment="1" applyProtection="1">
      <alignment horizontal="center" vertical="center"/>
      <protection locked="0"/>
    </xf>
    <xf numFmtId="0" fontId="41" fillId="0" borderId="39" xfId="0" applyFont="1" applyBorder="1" applyAlignment="1" applyProtection="1">
      <alignment vertical="center"/>
      <protection locked="0"/>
    </xf>
    <xf numFmtId="3" fontId="41" fillId="0" borderId="0" xfId="0" applyNumberFormat="1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39" fillId="0" borderId="0" xfId="0" quotePrefix="1" applyFont="1" applyAlignment="1" applyProtection="1">
      <alignment horizontal="center" vertical="center"/>
      <protection locked="0"/>
    </xf>
    <xf numFmtId="0" fontId="39" fillId="0" borderId="0" xfId="0" quotePrefix="1" applyFont="1" applyAlignment="1" applyProtection="1">
      <alignment horizontal="right" vertical="center"/>
      <protection locked="0"/>
    </xf>
    <xf numFmtId="2" fontId="39" fillId="0" borderId="0" xfId="0" applyNumberFormat="1" applyFont="1" applyAlignment="1" applyProtection="1">
      <alignment horizontal="center" vertical="center"/>
      <protection locked="0"/>
    </xf>
    <xf numFmtId="165" fontId="39" fillId="0" borderId="5" xfId="0" applyNumberFormat="1" applyFont="1" applyBorder="1" applyAlignment="1" applyProtection="1">
      <alignment horizontal="center" vertical="center"/>
      <protection locked="0"/>
    </xf>
    <xf numFmtId="0" fontId="40" fillId="4" borderId="15" xfId="0" applyFont="1" applyFill="1" applyBorder="1" applyAlignment="1" applyProtection="1">
      <alignment vertical="center"/>
      <protection locked="0"/>
    </xf>
    <xf numFmtId="3" fontId="40" fillId="4" borderId="29" xfId="0" applyNumberFormat="1" applyFont="1" applyFill="1" applyBorder="1" applyAlignment="1" applyProtection="1">
      <alignment horizontal="center" vertical="center"/>
      <protection locked="0"/>
    </xf>
    <xf numFmtId="0" fontId="40" fillId="4" borderId="29" xfId="0" applyFont="1" applyFill="1" applyBorder="1" applyAlignment="1" applyProtection="1">
      <alignment horizontal="center" vertical="center"/>
      <protection locked="0"/>
    </xf>
    <xf numFmtId="0" fontId="40" fillId="4" borderId="29" xfId="0" applyFont="1" applyFill="1" applyBorder="1" applyAlignment="1" applyProtection="1">
      <alignment horizontal="right" vertical="center"/>
      <protection locked="0"/>
    </xf>
    <xf numFmtId="2" fontId="40" fillId="4" borderId="29" xfId="0" applyNumberFormat="1" applyFont="1" applyFill="1" applyBorder="1" applyAlignment="1" applyProtection="1">
      <alignment horizontal="center" vertical="center"/>
      <protection locked="0"/>
    </xf>
    <xf numFmtId="0" fontId="40" fillId="0" borderId="42" xfId="0" applyFont="1" applyBorder="1" applyAlignment="1">
      <alignment vertical="center"/>
    </xf>
    <xf numFmtId="0" fontId="41" fillId="0" borderId="18" xfId="0" applyFont="1" applyBorder="1" applyAlignment="1">
      <alignment vertical="center"/>
    </xf>
    <xf numFmtId="0" fontId="41" fillId="0" borderId="21" xfId="0" applyFont="1" applyBorder="1" applyAlignment="1">
      <alignment vertical="center"/>
    </xf>
    <xf numFmtId="4" fontId="41" fillId="8" borderId="22" xfId="0" quotePrefix="1" applyNumberFormat="1" applyFont="1" applyFill="1" applyBorder="1" applyAlignment="1">
      <alignment horizontal="right" vertical="center"/>
    </xf>
    <xf numFmtId="4" fontId="41" fillId="0" borderId="49" xfId="0" applyNumberFormat="1" applyFont="1" applyBorder="1" applyAlignment="1">
      <alignment horizontal="right" vertical="center"/>
    </xf>
    <xf numFmtId="166" fontId="39" fillId="0" borderId="22" xfId="0" applyNumberFormat="1" applyFont="1" applyBorder="1" applyAlignment="1">
      <alignment horizontal="right" vertical="center" wrapText="1"/>
    </xf>
    <xf numFmtId="4" fontId="39" fillId="0" borderId="22" xfId="0" quotePrefix="1" applyNumberFormat="1" applyFont="1" applyBorder="1" applyAlignment="1">
      <alignment horizontal="right" vertical="center"/>
    </xf>
    <xf numFmtId="4" fontId="39" fillId="0" borderId="22" xfId="0" applyNumberFormat="1" applyFont="1" applyBorder="1" applyAlignment="1">
      <alignment horizontal="center" vertical="center"/>
    </xf>
    <xf numFmtId="166" fontId="39" fillId="0" borderId="22" xfId="0" applyNumberFormat="1" applyFont="1" applyBorder="1" applyAlignment="1">
      <alignment horizontal="left" vertical="center" wrapText="1"/>
    </xf>
    <xf numFmtId="2" fontId="41" fillId="0" borderId="19" xfId="0" applyNumberFormat="1" applyFont="1" applyBorder="1" applyAlignment="1" applyProtection="1">
      <alignment horizontal="center" vertical="center"/>
      <protection locked="0"/>
    </xf>
    <xf numFmtId="169" fontId="39" fillId="8" borderId="17" xfId="0" quotePrefix="1" applyNumberFormat="1" applyFont="1" applyFill="1" applyBorder="1" applyAlignment="1" applyProtection="1">
      <alignment horizontal="center" vertical="center"/>
      <protection locked="0"/>
    </xf>
    <xf numFmtId="0" fontId="47" fillId="0" borderId="0" xfId="0" applyFont="1" applyAlignment="1" applyProtection="1">
      <alignment vertical="center"/>
      <protection locked="0"/>
    </xf>
    <xf numFmtId="0" fontId="39" fillId="0" borderId="24" xfId="0" applyFont="1" applyBorder="1" applyAlignment="1">
      <alignment vertical="center"/>
    </xf>
    <xf numFmtId="3" fontId="39" fillId="2" borderId="25" xfId="0" applyNumberFormat="1" applyFont="1" applyFill="1" applyBorder="1" applyAlignment="1">
      <alignment horizontal="center" vertical="center"/>
    </xf>
    <xf numFmtId="0" fontId="39" fillId="2" borderId="25" xfId="0" applyFont="1" applyFill="1" applyBorder="1" applyAlignment="1">
      <alignment horizontal="right" vertical="center"/>
    </xf>
    <xf numFmtId="0" fontId="39" fillId="2" borderId="25" xfId="0" applyFont="1" applyFill="1" applyBorder="1" applyAlignment="1">
      <alignment horizontal="center" vertical="center"/>
    </xf>
    <xf numFmtId="2" fontId="39" fillId="2" borderId="25" xfId="0" applyNumberFormat="1" applyFont="1" applyFill="1" applyBorder="1" applyAlignment="1" applyProtection="1">
      <alignment horizontal="center" vertical="center"/>
      <protection locked="0"/>
    </xf>
    <xf numFmtId="165" fontId="39" fillId="2" borderId="26" xfId="0" quotePrefix="1" applyNumberFormat="1" applyFont="1" applyFill="1" applyBorder="1" applyAlignment="1" applyProtection="1">
      <alignment horizontal="center" vertical="center"/>
      <protection locked="0"/>
    </xf>
    <xf numFmtId="0" fontId="40" fillId="4" borderId="15" xfId="0" applyFont="1" applyFill="1" applyBorder="1" applyAlignment="1">
      <alignment vertical="center"/>
    </xf>
    <xf numFmtId="0" fontId="40" fillId="0" borderId="39" xfId="0" applyFont="1" applyBorder="1" applyAlignment="1">
      <alignment vertical="center"/>
    </xf>
    <xf numFmtId="3" fontId="46" fillId="0" borderId="38" xfId="0" applyNumberFormat="1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40" fillId="0" borderId="38" xfId="0" applyFont="1" applyBorder="1" applyAlignment="1">
      <alignment horizontal="right" vertical="center"/>
    </xf>
    <xf numFmtId="2" fontId="46" fillId="0" borderId="38" xfId="0" applyNumberFormat="1" applyFont="1" applyBorder="1" applyAlignment="1" applyProtection="1">
      <alignment horizontal="center" vertical="center"/>
      <protection locked="0"/>
    </xf>
    <xf numFmtId="165" fontId="40" fillId="0" borderId="40" xfId="0" applyNumberFormat="1" applyFont="1" applyBorder="1" applyAlignment="1" applyProtection="1">
      <alignment horizontal="center" vertical="center"/>
      <protection locked="0"/>
    </xf>
    <xf numFmtId="164" fontId="41" fillId="0" borderId="0" xfId="25" applyFont="1" applyAlignment="1" applyProtection="1">
      <alignment vertical="center"/>
      <protection locked="0"/>
    </xf>
    <xf numFmtId="0" fontId="41" fillId="0" borderId="0" xfId="0" applyFont="1" applyAlignment="1" applyProtection="1">
      <alignment vertical="center"/>
      <protection locked="0"/>
    </xf>
    <xf numFmtId="165" fontId="39" fillId="0" borderId="23" xfId="0" quotePrefix="1" applyNumberFormat="1" applyFont="1" applyBorder="1" applyAlignment="1" applyProtection="1">
      <alignment horizontal="center" vertical="center"/>
      <protection locked="0"/>
    </xf>
    <xf numFmtId="0" fontId="41" fillId="0" borderId="0" xfId="0" applyFont="1" applyAlignment="1">
      <alignment vertical="center"/>
    </xf>
    <xf numFmtId="164" fontId="41" fillId="0" borderId="0" xfId="25" applyFont="1" applyAlignment="1">
      <alignment horizontal="right" vertical="center"/>
    </xf>
    <xf numFmtId="4" fontId="39" fillId="0" borderId="22" xfId="0" applyNumberFormat="1" applyFont="1" applyBorder="1" applyAlignment="1">
      <alignment horizontal="right" vertical="center"/>
    </xf>
    <xf numFmtId="4" fontId="41" fillId="0" borderId="22" xfId="0" quotePrefix="1" applyNumberFormat="1" applyFont="1" applyBorder="1" applyAlignment="1">
      <alignment horizontal="center" vertical="center"/>
    </xf>
    <xf numFmtId="169" fontId="43" fillId="0" borderId="0" xfId="0" applyNumberFormat="1" applyFont="1" applyAlignment="1" applyProtection="1">
      <alignment vertical="center"/>
      <protection locked="0"/>
    </xf>
    <xf numFmtId="0" fontId="50" fillId="0" borderId="22" xfId="0" applyFont="1" applyBorder="1" applyAlignment="1">
      <alignment horizontal="right" vertical="center" wrapText="1"/>
    </xf>
    <xf numFmtId="165" fontId="41" fillId="9" borderId="22" xfId="0" applyNumberFormat="1" applyFont="1" applyFill="1" applyBorder="1" applyAlignment="1" applyProtection="1">
      <alignment horizontal="center" vertical="center"/>
      <protection locked="0"/>
    </xf>
    <xf numFmtId="165" fontId="41" fillId="8" borderId="22" xfId="0" applyNumberFormat="1" applyFont="1" applyFill="1" applyBorder="1" applyAlignment="1" applyProtection="1">
      <alignment horizontal="center" vertical="center"/>
      <protection locked="0"/>
    </xf>
    <xf numFmtId="0" fontId="43" fillId="8" borderId="0" xfId="0" applyFont="1" applyFill="1" applyAlignment="1" applyProtection="1">
      <alignment vertical="center"/>
      <protection locked="0"/>
    </xf>
    <xf numFmtId="3" fontId="43" fillId="0" borderId="22" xfId="0" applyNumberFormat="1" applyFont="1" applyBorder="1" applyAlignment="1">
      <alignment horizontal="center" vertical="center"/>
    </xf>
    <xf numFmtId="4" fontId="43" fillId="0" borderId="22" xfId="0" applyNumberFormat="1" applyFont="1" applyBorder="1" applyAlignment="1">
      <alignment horizontal="right" vertical="center"/>
    </xf>
    <xf numFmtId="4" fontId="43" fillId="0" borderId="22" xfId="0" quotePrefix="1" applyNumberFormat="1" applyFont="1" applyBorder="1" applyAlignment="1">
      <alignment horizontal="right" vertical="center"/>
    </xf>
    <xf numFmtId="4" fontId="43" fillId="0" borderId="22" xfId="0" applyNumberFormat="1" applyFont="1" applyBorder="1" applyAlignment="1">
      <alignment horizontal="center" vertical="center"/>
    </xf>
    <xf numFmtId="166" fontId="53" fillId="0" borderId="22" xfId="0" applyNumberFormat="1" applyFont="1" applyBorder="1" applyAlignment="1">
      <alignment horizontal="right" vertical="center" wrapText="1"/>
    </xf>
    <xf numFmtId="165" fontId="39" fillId="0" borderId="22" xfId="0" applyNumberFormat="1" applyFont="1" applyBorder="1" applyAlignment="1" applyProtection="1">
      <alignment horizontal="center" vertical="center"/>
      <protection locked="0"/>
    </xf>
    <xf numFmtId="0" fontId="39" fillId="0" borderId="28" xfId="0" applyFont="1" applyBorder="1" applyAlignment="1">
      <alignment vertical="center"/>
    </xf>
    <xf numFmtId="3" fontId="39" fillId="2" borderId="29" xfId="0" applyNumberFormat="1" applyFont="1" applyFill="1" applyBorder="1" applyAlignment="1">
      <alignment horizontal="center" vertical="center"/>
    </xf>
    <xf numFmtId="0" fontId="39" fillId="2" borderId="29" xfId="0" applyFont="1" applyFill="1" applyBorder="1" applyAlignment="1">
      <alignment horizontal="right" vertical="center"/>
    </xf>
    <xf numFmtId="0" fontId="39" fillId="2" borderId="29" xfId="0" applyFont="1" applyFill="1" applyBorder="1" applyAlignment="1">
      <alignment horizontal="center" vertical="center"/>
    </xf>
    <xf numFmtId="2" fontId="39" fillId="2" borderId="29" xfId="0" applyNumberFormat="1" applyFont="1" applyFill="1" applyBorder="1" applyAlignment="1" applyProtection="1">
      <alignment horizontal="center" vertical="center"/>
      <protection locked="0"/>
    </xf>
    <xf numFmtId="165" fontId="39" fillId="2" borderId="30" xfId="0" quotePrefix="1" applyNumberFormat="1" applyFont="1" applyFill="1" applyBorder="1" applyAlignment="1" applyProtection="1">
      <alignment horizontal="center" vertical="center"/>
      <protection locked="0"/>
    </xf>
    <xf numFmtId="0" fontId="41" fillId="0" borderId="22" xfId="0" applyFont="1" applyBorder="1" applyAlignment="1">
      <alignment horizontal="left" vertical="center" wrapText="1"/>
    </xf>
    <xf numFmtId="167" fontId="43" fillId="0" borderId="22" xfId="0" applyNumberFormat="1" applyFont="1" applyBorder="1" applyAlignment="1">
      <alignment horizontal="right" vertical="center"/>
    </xf>
    <xf numFmtId="165" fontId="41" fillId="0" borderId="11" xfId="0" quotePrefix="1" applyNumberFormat="1" applyFont="1" applyBorder="1" applyAlignment="1" applyProtection="1">
      <alignment horizontal="center" vertical="center"/>
      <protection locked="0"/>
    </xf>
    <xf numFmtId="165" fontId="39" fillId="8" borderId="17" xfId="0" quotePrefix="1" applyNumberFormat="1" applyFont="1" applyFill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right" vertical="center"/>
    </xf>
    <xf numFmtId="3" fontId="39" fillId="0" borderId="2" xfId="0" applyNumberFormat="1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right" vertical="center"/>
    </xf>
    <xf numFmtId="165" fontId="39" fillId="3" borderId="28" xfId="0" applyNumberFormat="1" applyFont="1" applyFill="1" applyBorder="1" applyAlignment="1">
      <alignment vertical="center"/>
    </xf>
    <xf numFmtId="165" fontId="39" fillId="3" borderId="29" xfId="0" applyNumberFormat="1" applyFont="1" applyFill="1" applyBorder="1" applyAlignment="1">
      <alignment vertical="center"/>
    </xf>
    <xf numFmtId="165" fontId="39" fillId="3" borderId="29" xfId="0" applyNumberFormat="1" applyFont="1" applyFill="1" applyBorder="1" applyAlignment="1">
      <alignment horizontal="center" vertical="center"/>
    </xf>
    <xf numFmtId="2" fontId="39" fillId="3" borderId="41" xfId="0" applyNumberFormat="1" applyFont="1" applyFill="1" applyBorder="1" applyAlignment="1" applyProtection="1">
      <alignment horizontal="right" vertical="center"/>
      <protection locked="0"/>
    </xf>
    <xf numFmtId="165" fontId="39" fillId="3" borderId="17" xfId="0" applyNumberFormat="1" applyFont="1" applyFill="1" applyBorder="1" applyAlignment="1" applyProtection="1">
      <alignment horizontal="center" vertical="center"/>
      <protection locked="0"/>
    </xf>
    <xf numFmtId="165" fontId="39" fillId="0" borderId="4" xfId="0" applyNumberFormat="1" applyFont="1" applyBorder="1" applyAlignment="1">
      <alignment vertical="center"/>
    </xf>
    <xf numFmtId="165" fontId="39" fillId="0" borderId="0" xfId="0" applyNumberFormat="1" applyFont="1" applyAlignment="1">
      <alignment vertical="center"/>
    </xf>
    <xf numFmtId="165" fontId="39" fillId="0" borderId="0" xfId="0" applyNumberFormat="1" applyFont="1" applyAlignment="1">
      <alignment horizontal="center" vertical="center"/>
    </xf>
    <xf numFmtId="2" fontId="39" fillId="0" borderId="0" xfId="0" applyNumberFormat="1" applyFont="1" applyAlignment="1" applyProtection="1">
      <alignment horizontal="right" vertical="center"/>
      <protection locked="0"/>
    </xf>
    <xf numFmtId="166" fontId="39" fillId="4" borderId="34" xfId="0" applyNumberFormat="1" applyFont="1" applyFill="1" applyBorder="1" applyAlignment="1">
      <alignment horizontal="center" vertical="center"/>
    </xf>
    <xf numFmtId="0" fontId="41" fillId="2" borderId="0" xfId="0" applyFont="1" applyFill="1" applyAlignment="1" applyProtection="1">
      <alignment vertical="center"/>
      <protection locked="0"/>
    </xf>
    <xf numFmtId="0" fontId="39" fillId="0" borderId="34" xfId="0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31" xfId="0" applyFont="1" applyBorder="1" applyAlignment="1">
      <alignment horizontal="right" vertical="center"/>
    </xf>
    <xf numFmtId="2" fontId="39" fillId="0" borderId="31" xfId="0" applyNumberFormat="1" applyFont="1" applyBorder="1" applyAlignment="1" applyProtection="1">
      <alignment horizontal="center" vertical="center"/>
      <protection locked="0"/>
    </xf>
    <xf numFmtId="164" fontId="32" fillId="0" borderId="0" xfId="0" applyNumberFormat="1" applyFont="1" applyProtection="1">
      <protection locked="0"/>
    </xf>
    <xf numFmtId="0" fontId="55" fillId="0" borderId="0" xfId="0" applyFont="1" applyProtection="1">
      <protection locked="0"/>
    </xf>
    <xf numFmtId="43" fontId="43" fillId="0" borderId="63" xfId="26" applyFont="1" applyBorder="1" applyAlignment="1">
      <alignment vertical="center"/>
    </xf>
    <xf numFmtId="43" fontId="43" fillId="0" borderId="56" xfId="26" applyFont="1" applyBorder="1" applyAlignment="1">
      <alignment vertical="center"/>
    </xf>
    <xf numFmtId="0" fontId="43" fillId="0" borderId="0" xfId="0" applyFont="1" applyAlignment="1" applyProtection="1">
      <alignment horizontal="center" vertical="center"/>
      <protection locked="0"/>
    </xf>
    <xf numFmtId="164" fontId="0" fillId="0" borderId="0" xfId="25" applyFont="1" applyAlignment="1" applyProtection="1">
      <alignment horizontal="center" vertical="center"/>
      <protection locked="0"/>
    </xf>
    <xf numFmtId="2" fontId="39" fillId="11" borderId="9" xfId="14" applyNumberFormat="1" applyFont="1" applyFill="1" applyBorder="1" applyAlignment="1">
      <alignment horizontal="center" vertical="center"/>
    </xf>
    <xf numFmtId="49" fontId="41" fillId="11" borderId="12" xfId="14" applyNumberFormat="1" applyFont="1" applyFill="1" applyBorder="1" applyAlignment="1">
      <alignment horizontal="center" vertical="center"/>
    </xf>
    <xf numFmtId="0" fontId="55" fillId="0" borderId="0" xfId="0" applyFont="1" applyAlignment="1" applyProtection="1">
      <alignment vertical="center"/>
      <protection locked="0"/>
    </xf>
    <xf numFmtId="43" fontId="39" fillId="0" borderId="62" xfId="26" applyFont="1" applyBorder="1" applyAlignment="1" applyProtection="1">
      <alignment horizontal="right" vertical="center"/>
      <protection locked="0"/>
    </xf>
    <xf numFmtId="43" fontId="39" fillId="0" borderId="59" xfId="26" applyFont="1" applyBorder="1" applyAlignment="1" applyProtection="1">
      <alignment horizontal="right" vertical="center"/>
      <protection locked="0"/>
    </xf>
    <xf numFmtId="43" fontId="56" fillId="0" borderId="63" xfId="26" applyFont="1" applyBorder="1" applyAlignment="1">
      <alignment vertical="center"/>
    </xf>
    <xf numFmtId="43" fontId="56" fillId="0" borderId="56" xfId="26" applyFont="1" applyBorder="1" applyAlignment="1">
      <alignment vertical="center"/>
    </xf>
    <xf numFmtId="2" fontId="39" fillId="11" borderId="64" xfId="14" applyNumberFormat="1" applyFont="1" applyFill="1" applyBorder="1" applyAlignment="1">
      <alignment horizontal="center" vertical="center"/>
    </xf>
    <xf numFmtId="49" fontId="41" fillId="11" borderId="65" xfId="14" applyNumberFormat="1" applyFont="1" applyFill="1" applyBorder="1" applyAlignment="1">
      <alignment horizontal="center" vertical="center"/>
    </xf>
    <xf numFmtId="165" fontId="47" fillId="0" borderId="3" xfId="0" applyNumberFormat="1" applyFont="1" applyBorder="1" applyAlignment="1" applyProtection="1">
      <alignment horizontal="center" vertical="center"/>
      <protection locked="0"/>
    </xf>
    <xf numFmtId="165" fontId="47" fillId="4" borderId="30" xfId="0" applyNumberFormat="1" applyFont="1" applyFill="1" applyBorder="1" applyAlignment="1" applyProtection="1">
      <alignment horizontal="center" vertical="center"/>
      <protection locked="0"/>
    </xf>
    <xf numFmtId="165" fontId="47" fillId="0" borderId="44" xfId="0" applyNumberFormat="1" applyFont="1" applyBorder="1" applyAlignment="1" applyProtection="1">
      <alignment horizontal="center" vertical="center"/>
      <protection locked="0"/>
    </xf>
    <xf numFmtId="165" fontId="47" fillId="0" borderId="20" xfId="0" applyNumberFormat="1" applyFont="1" applyBorder="1" applyAlignment="1" applyProtection="1">
      <alignment horizontal="center" vertical="center"/>
      <protection locked="0"/>
    </xf>
    <xf numFmtId="165" fontId="43" fillId="0" borderId="20" xfId="0" quotePrefix="1" applyNumberFormat="1" applyFont="1" applyBorder="1" applyAlignment="1" applyProtection="1">
      <alignment horizontal="center" vertical="center"/>
      <protection locked="0"/>
    </xf>
    <xf numFmtId="165" fontId="43" fillId="0" borderId="23" xfId="0" quotePrefix="1" applyNumberFormat="1" applyFont="1" applyBorder="1" applyAlignment="1" applyProtection="1">
      <alignment horizontal="center" vertical="center"/>
      <protection locked="0"/>
    </xf>
    <xf numFmtId="165" fontId="43" fillId="0" borderId="40" xfId="0" quotePrefix="1" applyNumberFormat="1" applyFont="1" applyBorder="1" applyAlignment="1" applyProtection="1">
      <alignment horizontal="center" vertical="center"/>
      <protection locked="0"/>
    </xf>
    <xf numFmtId="165" fontId="47" fillId="8" borderId="17" xfId="0" applyNumberFormat="1" applyFont="1" applyFill="1" applyBorder="1" applyAlignment="1" applyProtection="1">
      <alignment horizontal="center" vertical="center"/>
      <protection locked="0"/>
    </xf>
    <xf numFmtId="165" fontId="47" fillId="0" borderId="5" xfId="0" applyNumberFormat="1" applyFont="1" applyBorder="1" applyAlignment="1" applyProtection="1">
      <alignment horizontal="center" vertical="center"/>
      <protection locked="0"/>
    </xf>
    <xf numFmtId="169" fontId="47" fillId="8" borderId="17" xfId="0" quotePrefix="1" applyNumberFormat="1" applyFont="1" applyFill="1" applyBorder="1" applyAlignment="1" applyProtection="1">
      <alignment horizontal="center" vertical="center"/>
      <protection locked="0"/>
    </xf>
    <xf numFmtId="165" fontId="47" fillId="2" borderId="26" xfId="0" quotePrefix="1" applyNumberFormat="1" applyFont="1" applyFill="1" applyBorder="1" applyAlignment="1" applyProtection="1">
      <alignment horizontal="center" vertical="center"/>
      <protection locked="0"/>
    </xf>
    <xf numFmtId="165" fontId="47" fillId="0" borderId="40" xfId="0" applyNumberFormat="1" applyFont="1" applyBorder="1" applyAlignment="1" applyProtection="1">
      <alignment horizontal="center" vertical="center"/>
      <protection locked="0"/>
    </xf>
    <xf numFmtId="165" fontId="47" fillId="0" borderId="23" xfId="0" quotePrefix="1" applyNumberFormat="1" applyFont="1" applyBorder="1" applyAlignment="1" applyProtection="1">
      <alignment horizontal="center" vertical="center"/>
      <protection locked="0"/>
    </xf>
    <xf numFmtId="165" fontId="47" fillId="2" borderId="30" xfId="0" quotePrefix="1" applyNumberFormat="1" applyFont="1" applyFill="1" applyBorder="1" applyAlignment="1" applyProtection="1">
      <alignment horizontal="center" vertical="center"/>
      <protection locked="0"/>
    </xf>
    <xf numFmtId="165" fontId="43" fillId="0" borderId="11" xfId="0" quotePrefix="1" applyNumberFormat="1" applyFont="1" applyBorder="1" applyAlignment="1" applyProtection="1">
      <alignment horizontal="center" vertical="center"/>
      <protection locked="0"/>
    </xf>
    <xf numFmtId="165" fontId="47" fillId="3" borderId="17" xfId="0" applyNumberFormat="1" applyFont="1" applyFill="1" applyBorder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165" fontId="47" fillId="0" borderId="20" xfId="0" quotePrefix="1" applyNumberFormat="1" applyFont="1" applyBorder="1" applyAlignment="1" applyProtection="1">
      <alignment horizontal="center" vertical="center"/>
      <protection locked="0"/>
    </xf>
    <xf numFmtId="165" fontId="47" fillId="0" borderId="40" xfId="0" quotePrefix="1" applyNumberFormat="1" applyFont="1" applyBorder="1" applyAlignment="1" applyProtection="1">
      <alignment horizontal="center" vertical="center"/>
      <protection locked="0"/>
    </xf>
    <xf numFmtId="165" fontId="47" fillId="0" borderId="22" xfId="0" applyNumberFormat="1" applyFont="1" applyBorder="1" applyAlignment="1" applyProtection="1">
      <alignment horizontal="center" vertical="center"/>
      <protection locked="0"/>
    </xf>
    <xf numFmtId="165" fontId="47" fillId="0" borderId="11" xfId="0" quotePrefix="1" applyNumberFormat="1" applyFont="1" applyBorder="1" applyAlignment="1" applyProtection="1">
      <alignment horizontal="center" vertical="center"/>
      <protection locked="0"/>
    </xf>
    <xf numFmtId="164" fontId="36" fillId="0" borderId="0" xfId="0" applyNumberFormat="1" applyFont="1" applyProtection="1">
      <protection locked="0"/>
    </xf>
    <xf numFmtId="169" fontId="55" fillId="0" borderId="0" xfId="0" applyNumberFormat="1" applyFont="1" applyAlignment="1" applyProtection="1">
      <alignment vertical="center"/>
      <protection locked="0"/>
    </xf>
    <xf numFmtId="169" fontId="39" fillId="0" borderId="60" xfId="25" applyNumberFormat="1" applyFont="1" applyBorder="1" applyAlignment="1" applyProtection="1">
      <alignment horizontal="right" vertical="center"/>
      <protection locked="0"/>
    </xf>
    <xf numFmtId="169" fontId="39" fillId="0" borderId="61" xfId="25" applyNumberFormat="1" applyFont="1" applyBorder="1" applyAlignment="1" applyProtection="1">
      <alignment horizontal="right" vertical="center"/>
      <protection locked="0"/>
    </xf>
    <xf numFmtId="169" fontId="39" fillId="0" borderId="57" xfId="25" applyNumberFormat="1" applyFont="1" applyBorder="1" applyAlignment="1" applyProtection="1">
      <alignment vertical="center"/>
      <protection locked="0"/>
    </xf>
    <xf numFmtId="169" fontId="39" fillId="0" borderId="58" xfId="25" applyNumberFormat="1" applyFont="1" applyBorder="1" applyAlignment="1" applyProtection="1">
      <alignment vertical="center"/>
      <protection locked="0"/>
    </xf>
    <xf numFmtId="169" fontId="41" fillId="0" borderId="57" xfId="25" applyNumberFormat="1" applyFont="1" applyBorder="1" applyAlignment="1" applyProtection="1">
      <alignment horizontal="right" vertical="center"/>
      <protection locked="0"/>
    </xf>
    <xf numFmtId="169" fontId="41" fillId="0" borderId="58" xfId="25" applyNumberFormat="1" applyFont="1" applyBorder="1" applyAlignment="1" applyProtection="1">
      <alignment horizontal="right" vertical="center"/>
      <protection locked="0"/>
    </xf>
    <xf numFmtId="169" fontId="39" fillId="0" borderId="57" xfId="25" applyNumberFormat="1" applyFont="1" applyBorder="1" applyAlignment="1" applyProtection="1">
      <alignment horizontal="right" vertical="center"/>
      <protection locked="0"/>
    </xf>
    <xf numFmtId="169" fontId="39" fillId="0" borderId="58" xfId="25" applyNumberFormat="1" applyFont="1" applyBorder="1" applyAlignment="1" applyProtection="1">
      <alignment horizontal="right" vertical="center"/>
      <protection locked="0"/>
    </xf>
    <xf numFmtId="169" fontId="39" fillId="8" borderId="17" xfId="0" applyNumberFormat="1" applyFont="1" applyFill="1" applyBorder="1" applyAlignment="1" applyProtection="1">
      <alignment horizontal="center" vertical="center"/>
      <protection locked="0"/>
    </xf>
    <xf numFmtId="169" fontId="41" fillId="0" borderId="0" xfId="0" applyNumberFormat="1" applyFont="1" applyAlignment="1" applyProtection="1">
      <alignment vertical="center"/>
      <protection locked="0"/>
    </xf>
    <xf numFmtId="169" fontId="40" fillId="12" borderId="17" xfId="0" applyNumberFormat="1" applyFont="1" applyFill="1" applyBorder="1" applyAlignment="1" applyProtection="1">
      <alignment horizontal="center" vertical="center"/>
      <protection locked="0"/>
    </xf>
    <xf numFmtId="10" fontId="40" fillId="12" borderId="17" xfId="24" applyNumberFormat="1" applyFont="1" applyFill="1" applyBorder="1" applyAlignment="1" applyProtection="1">
      <alignment horizontal="center" vertical="center"/>
      <protection locked="0"/>
    </xf>
    <xf numFmtId="169" fontId="41" fillId="0" borderId="0" xfId="13" applyNumberFormat="1" applyFont="1" applyAlignment="1">
      <alignment vertical="center"/>
    </xf>
    <xf numFmtId="10" fontId="41" fillId="0" borderId="0" xfId="24" applyNumberFormat="1" applyFont="1" applyAlignment="1">
      <alignment vertical="center"/>
    </xf>
    <xf numFmtId="165" fontId="54" fillId="0" borderId="0" xfId="0" applyNumberFormat="1" applyFont="1" applyAlignment="1" applyProtection="1">
      <alignment horizontal="center" vertical="center"/>
      <protection locked="0"/>
    </xf>
    <xf numFmtId="164" fontId="0" fillId="0" borderId="0" xfId="25" applyFont="1" applyFill="1" applyProtection="1">
      <protection locked="0"/>
    </xf>
    <xf numFmtId="169" fontId="39" fillId="13" borderId="57" xfId="25" applyNumberFormat="1" applyFont="1" applyFill="1" applyBorder="1" applyAlignment="1" applyProtection="1">
      <alignment horizontal="right" vertical="center"/>
      <protection locked="0"/>
    </xf>
    <xf numFmtId="0" fontId="37" fillId="14" borderId="0" xfId="13" applyFont="1" applyFill="1" applyAlignment="1">
      <alignment horizontal="center"/>
    </xf>
    <xf numFmtId="169" fontId="39" fillId="0" borderId="57" xfId="25" applyNumberFormat="1" applyFont="1" applyFill="1" applyBorder="1" applyAlignment="1" applyProtection="1">
      <alignment horizontal="right" vertical="center"/>
      <protection locked="0"/>
    </xf>
    <xf numFmtId="165" fontId="47" fillId="3" borderId="41" xfId="0" applyNumberFormat="1" applyFont="1" applyFill="1" applyBorder="1" applyAlignment="1" applyProtection="1">
      <alignment horizontal="center" vertical="center"/>
      <protection locked="0"/>
    </xf>
    <xf numFmtId="43" fontId="56" fillId="15" borderId="37" xfId="26" applyFont="1" applyFill="1" applyBorder="1" applyAlignment="1">
      <alignment vertical="center"/>
    </xf>
    <xf numFmtId="169" fontId="39" fillId="15" borderId="37" xfId="25" applyNumberFormat="1" applyFont="1" applyFill="1" applyBorder="1" applyAlignment="1" applyProtection="1">
      <alignment horizontal="right" vertical="center"/>
      <protection locked="0"/>
    </xf>
    <xf numFmtId="169" fontId="39" fillId="15" borderId="17" xfId="0" applyNumberFormat="1" applyFont="1" applyFill="1" applyBorder="1" applyAlignment="1" applyProtection="1">
      <alignment horizontal="center" vertical="center"/>
      <protection locked="0"/>
    </xf>
    <xf numFmtId="169" fontId="39" fillId="15" borderId="37" xfId="0" applyNumberFormat="1" applyFont="1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 applyProtection="1">
      <alignment horizontal="center" vertical="center"/>
      <protection locked="0"/>
    </xf>
    <xf numFmtId="0" fontId="5" fillId="3" borderId="13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9" fontId="31" fillId="0" borderId="28" xfId="0" applyNumberFormat="1" applyFont="1" applyBorder="1" applyAlignment="1" applyProtection="1">
      <alignment horizontal="center" vertical="center"/>
      <protection locked="0"/>
    </xf>
    <xf numFmtId="0" fontId="31" fillId="0" borderId="29" xfId="0" applyFont="1" applyBorder="1" applyAlignment="1" applyProtection="1">
      <alignment horizontal="center" vertical="center"/>
      <protection locked="0"/>
    </xf>
    <xf numFmtId="0" fontId="31" fillId="0" borderId="30" xfId="0" applyFont="1" applyBorder="1" applyAlignment="1" applyProtection="1">
      <alignment horizontal="center" vertical="center"/>
      <protection locked="0"/>
    </xf>
    <xf numFmtId="0" fontId="39" fillId="3" borderId="9" xfId="0" applyFont="1" applyFill="1" applyBorder="1" applyAlignment="1" applyProtection="1">
      <alignment horizontal="center" vertical="center"/>
      <protection locked="0"/>
    </xf>
    <xf numFmtId="0" fontId="39" fillId="3" borderId="12" xfId="0" applyFont="1" applyFill="1" applyBorder="1" applyAlignment="1" applyProtection="1">
      <alignment horizontal="center" vertical="center"/>
      <protection locked="0"/>
    </xf>
    <xf numFmtId="169" fontId="39" fillId="11" borderId="52" xfId="25" applyNumberFormat="1" applyFont="1" applyFill="1" applyBorder="1" applyAlignment="1">
      <alignment horizontal="center" vertical="center"/>
    </xf>
    <xf numFmtId="169" fontId="39" fillId="11" borderId="54" xfId="25" applyNumberFormat="1" applyFont="1" applyFill="1" applyBorder="1" applyAlignment="1">
      <alignment horizontal="center" vertical="center"/>
    </xf>
    <xf numFmtId="43" fontId="39" fillId="8" borderId="1" xfId="26" applyFont="1" applyFill="1" applyBorder="1" applyAlignment="1">
      <alignment horizontal="center" vertical="center"/>
    </xf>
    <xf numFmtId="43" fontId="39" fillId="8" borderId="2" xfId="26" applyFont="1" applyFill="1" applyBorder="1" applyAlignment="1">
      <alignment horizontal="center" vertical="center"/>
    </xf>
    <xf numFmtId="43" fontId="39" fillId="8" borderId="3" xfId="26" applyFont="1" applyFill="1" applyBorder="1" applyAlignment="1">
      <alignment horizontal="center" vertical="center"/>
    </xf>
    <xf numFmtId="43" fontId="39" fillId="10" borderId="1" xfId="26" applyFont="1" applyFill="1" applyBorder="1" applyAlignment="1">
      <alignment horizontal="center" vertical="center"/>
    </xf>
    <xf numFmtId="43" fontId="39" fillId="10" borderId="2" xfId="26" applyFont="1" applyFill="1" applyBorder="1" applyAlignment="1">
      <alignment horizontal="center" vertical="center"/>
    </xf>
    <xf numFmtId="43" fontId="39" fillId="10" borderId="3" xfId="26" applyFont="1" applyFill="1" applyBorder="1" applyAlignment="1">
      <alignment horizontal="center" vertical="center"/>
    </xf>
    <xf numFmtId="169" fontId="39" fillId="11" borderId="53" xfId="25" applyNumberFormat="1" applyFont="1" applyFill="1" applyBorder="1" applyAlignment="1">
      <alignment horizontal="center" vertical="center"/>
    </xf>
    <xf numFmtId="169" fontId="39" fillId="11" borderId="55" xfId="25" applyNumberFormat="1" applyFont="1" applyFill="1" applyBorder="1" applyAlignment="1">
      <alignment horizontal="center" vertical="center"/>
    </xf>
    <xf numFmtId="165" fontId="47" fillId="3" borderId="11" xfId="0" applyNumberFormat="1" applyFont="1" applyFill="1" applyBorder="1" applyAlignment="1" applyProtection="1">
      <alignment horizontal="center" vertical="center"/>
      <protection locked="0"/>
    </xf>
    <xf numFmtId="165" fontId="47" fillId="3" borderId="14" xfId="0" applyNumberFormat="1" applyFont="1" applyFill="1" applyBorder="1" applyAlignment="1" applyProtection="1">
      <alignment horizontal="center" vertical="center"/>
      <protection locked="0"/>
    </xf>
    <xf numFmtId="0" fontId="39" fillId="3" borderId="10" xfId="0" applyFont="1" applyFill="1" applyBorder="1" applyAlignment="1" applyProtection="1">
      <alignment horizontal="center" vertical="center"/>
      <protection locked="0"/>
    </xf>
    <xf numFmtId="0" fontId="39" fillId="3" borderId="13" xfId="0" applyFont="1" applyFill="1" applyBorder="1" applyAlignment="1" applyProtection="1">
      <alignment horizontal="center" vertical="center"/>
      <protection locked="0"/>
    </xf>
    <xf numFmtId="169" fontId="31" fillId="0" borderId="29" xfId="0" applyNumberFormat="1" applyFont="1" applyBorder="1" applyAlignment="1" applyProtection="1">
      <alignment horizontal="center" vertical="center"/>
      <protection locked="0"/>
    </xf>
    <xf numFmtId="165" fontId="47" fillId="3" borderId="66" xfId="0" applyNumberFormat="1" applyFont="1" applyFill="1" applyBorder="1" applyAlignment="1" applyProtection="1">
      <alignment horizontal="center" vertical="center"/>
      <protection locked="0"/>
    </xf>
    <xf numFmtId="165" fontId="47" fillId="3" borderId="67" xfId="0" applyNumberFormat="1" applyFont="1" applyFill="1" applyBorder="1" applyAlignment="1" applyProtection="1">
      <alignment horizontal="center" vertical="center"/>
      <protection locked="0"/>
    </xf>
    <xf numFmtId="165" fontId="47" fillId="3" borderId="66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>
      <alignment horizontal="right" vertical="center" wrapText="1"/>
    </xf>
    <xf numFmtId="0" fontId="39" fillId="0" borderId="50" xfId="0" applyFont="1" applyBorder="1" applyAlignment="1" applyProtection="1">
      <alignment horizontal="center" vertical="center" wrapText="1"/>
      <protection locked="0"/>
    </xf>
    <xf numFmtId="0" fontId="40" fillId="4" borderId="41" xfId="0" applyFont="1" applyFill="1" applyBorder="1" applyAlignment="1">
      <alignment horizontal="left" vertical="center" wrapText="1"/>
    </xf>
    <xf numFmtId="0" fontId="40" fillId="0" borderId="43" xfId="0" applyFont="1" applyBorder="1" applyAlignment="1">
      <alignment horizontal="left" vertical="center" wrapText="1"/>
    </xf>
    <xf numFmtId="0" fontId="39" fillId="0" borderId="22" xfId="0" applyFont="1" applyBorder="1" applyAlignment="1">
      <alignment horizontal="left" vertical="center" wrapText="1"/>
    </xf>
    <xf numFmtId="166" fontId="41" fillId="0" borderId="19" xfId="0" applyNumberFormat="1" applyFont="1" applyBorder="1" applyAlignment="1">
      <alignment horizontal="right" vertical="center" wrapText="1"/>
    </xf>
    <xf numFmtId="0" fontId="39" fillId="0" borderId="16" xfId="0" applyFont="1" applyBorder="1" applyAlignment="1">
      <alignment horizontal="left" vertical="center" wrapText="1"/>
    </xf>
    <xf numFmtId="0" fontId="39" fillId="0" borderId="51" xfId="0" applyFont="1" applyBorder="1" applyAlignment="1" applyProtection="1">
      <alignment horizontal="center" vertical="center" wrapText="1"/>
      <protection locked="0"/>
    </xf>
    <xf numFmtId="0" fontId="40" fillId="4" borderId="41" xfId="0" applyFont="1" applyFill="1" applyBorder="1" applyAlignment="1" applyProtection="1">
      <alignment horizontal="left" vertical="center" wrapText="1"/>
      <protection locked="0"/>
    </xf>
    <xf numFmtId="166" fontId="39" fillId="0" borderId="48" xfId="0" applyNumberFormat="1" applyFont="1" applyBorder="1" applyAlignment="1">
      <alignment horizontal="left" vertical="center" wrapText="1"/>
    </xf>
    <xf numFmtId="0" fontId="39" fillId="2" borderId="25" xfId="0" applyFont="1" applyFill="1" applyBorder="1" applyAlignment="1">
      <alignment horizontal="left" vertical="center" wrapText="1"/>
    </xf>
    <xf numFmtId="0" fontId="40" fillId="0" borderId="38" xfId="0" applyFont="1" applyBorder="1" applyAlignment="1">
      <alignment horizontal="left" vertical="center" wrapText="1"/>
    </xf>
    <xf numFmtId="166" fontId="39" fillId="0" borderId="19" xfId="0" applyNumberFormat="1" applyFont="1" applyBorder="1" applyAlignment="1">
      <alignment horizontal="left" vertical="center" wrapText="1"/>
    </xf>
    <xf numFmtId="166" fontId="48" fillId="0" borderId="22" xfId="0" applyNumberFormat="1" applyFont="1" applyBorder="1" applyAlignment="1">
      <alignment horizontal="right" vertical="center" wrapText="1"/>
    </xf>
    <xf numFmtId="166" fontId="49" fillId="0" borderId="22" xfId="0" applyNumberFormat="1" applyFont="1" applyBorder="1" applyAlignment="1">
      <alignment horizontal="right" vertical="center" wrapText="1"/>
    </xf>
    <xf numFmtId="0" fontId="41" fillId="0" borderId="0" xfId="0" applyFont="1" applyAlignment="1">
      <alignment vertical="center" wrapText="1"/>
    </xf>
    <xf numFmtId="166" fontId="52" fillId="0" borderId="22" xfId="0" applyNumberFormat="1" applyFont="1" applyBorder="1" applyAlignment="1">
      <alignment horizontal="right" vertical="center" wrapText="1"/>
    </xf>
    <xf numFmtId="4" fontId="39" fillId="0" borderId="22" xfId="0" applyNumberFormat="1" applyFont="1" applyBorder="1" applyAlignment="1">
      <alignment horizontal="right" vertical="center" wrapText="1"/>
    </xf>
    <xf numFmtId="0" fontId="39" fillId="2" borderId="29" xfId="0" applyFont="1" applyFill="1" applyBorder="1" applyAlignment="1">
      <alignment horizontal="left" vertical="center" wrapText="1"/>
    </xf>
    <xf numFmtId="0" fontId="39" fillId="0" borderId="2" xfId="0" applyFont="1" applyBorder="1" applyAlignment="1">
      <alignment horizontal="left" vertical="center" wrapText="1"/>
    </xf>
    <xf numFmtId="165" fontId="39" fillId="3" borderId="41" xfId="0" applyNumberFormat="1" applyFont="1" applyFill="1" applyBorder="1" applyAlignment="1">
      <alignment vertical="center" wrapText="1"/>
    </xf>
    <xf numFmtId="165" fontId="39" fillId="0" borderId="0" xfId="0" applyNumberFormat="1" applyFont="1" applyAlignment="1">
      <alignment vertical="center" wrapText="1"/>
    </xf>
    <xf numFmtId="166" fontId="39" fillId="4" borderId="31" xfId="0" applyNumberFormat="1" applyFont="1" applyFill="1" applyBorder="1" applyAlignment="1">
      <alignment horizontal="center" vertical="center" wrapText="1"/>
    </xf>
    <xf numFmtId="0" fontId="39" fillId="0" borderId="31" xfId="0" applyFont="1" applyBorder="1" applyAlignment="1">
      <alignment horizontal="left" vertical="center" wrapText="1"/>
    </xf>
    <xf numFmtId="0" fontId="0" fillId="0" borderId="0" xfId="0" applyAlignment="1" applyProtection="1">
      <alignment wrapText="1"/>
      <protection locked="0"/>
    </xf>
    <xf numFmtId="0" fontId="31" fillId="0" borderId="0" xfId="0" applyFont="1" applyAlignment="1" applyProtection="1">
      <alignment wrapText="1"/>
      <protection locked="0"/>
    </xf>
    <xf numFmtId="10" fontId="43" fillId="0" borderId="0" xfId="24" applyNumberFormat="1" applyFont="1" applyAlignment="1">
      <alignment vertical="center"/>
    </xf>
    <xf numFmtId="169" fontId="39" fillId="12" borderId="57" xfId="25" applyNumberFormat="1" applyFont="1" applyFill="1" applyBorder="1" applyAlignment="1" applyProtection="1">
      <alignment horizontal="right" vertical="center"/>
      <protection locked="0"/>
    </xf>
    <xf numFmtId="169" fontId="40" fillId="12" borderId="57" xfId="25" applyNumberFormat="1" applyFont="1" applyFill="1" applyBorder="1" applyAlignment="1" applyProtection="1">
      <alignment horizontal="right" vertical="center"/>
      <protection locked="0"/>
    </xf>
    <xf numFmtId="165" fontId="40" fillId="16" borderId="28" xfId="0" applyNumberFormat="1" applyFont="1" applyFill="1" applyBorder="1" applyAlignment="1">
      <alignment vertical="center"/>
    </xf>
    <xf numFmtId="165" fontId="40" fillId="16" borderId="41" xfId="0" applyNumberFormat="1" applyFont="1" applyFill="1" applyBorder="1" applyAlignment="1">
      <alignment vertical="center" wrapText="1"/>
    </xf>
    <xf numFmtId="165" fontId="40" fillId="16" borderId="29" xfId="0" applyNumberFormat="1" applyFont="1" applyFill="1" applyBorder="1" applyAlignment="1">
      <alignment vertical="center"/>
    </xf>
    <xf numFmtId="165" fontId="40" fillId="16" borderId="29" xfId="0" applyNumberFormat="1" applyFont="1" applyFill="1" applyBorder="1" applyAlignment="1">
      <alignment horizontal="center" vertical="center"/>
    </xf>
    <xf numFmtId="2" fontId="40" fillId="16" borderId="41" xfId="0" applyNumberFormat="1" applyFont="1" applyFill="1" applyBorder="1" applyAlignment="1" applyProtection="1">
      <alignment horizontal="right" vertical="center"/>
      <protection locked="0"/>
    </xf>
    <xf numFmtId="165" fontId="40" fillId="16" borderId="17" xfId="0" applyNumberFormat="1" applyFont="1" applyFill="1" applyBorder="1" applyAlignment="1" applyProtection="1">
      <alignment horizontal="center" vertical="center"/>
      <protection locked="0"/>
    </xf>
    <xf numFmtId="169" fontId="46" fillId="16" borderId="0" xfId="0" applyNumberFormat="1" applyFont="1" applyFill="1" applyAlignment="1" applyProtection="1">
      <alignment vertical="center"/>
      <protection locked="0"/>
    </xf>
    <xf numFmtId="164" fontId="57" fillId="16" borderId="0" xfId="25" applyFont="1" applyFill="1" applyProtection="1">
      <protection locked="0"/>
    </xf>
    <xf numFmtId="165" fontId="40" fillId="16" borderId="41" xfId="0" applyNumberFormat="1" applyFont="1" applyFill="1" applyBorder="1" applyAlignment="1" applyProtection="1">
      <alignment horizontal="center" vertical="center"/>
      <protection locked="0"/>
    </xf>
    <xf numFmtId="43" fontId="46" fillId="16" borderId="37" xfId="26" applyFont="1" applyFill="1" applyBorder="1" applyAlignment="1">
      <alignment vertical="center"/>
    </xf>
    <xf numFmtId="169" fontId="40" fillId="16" borderId="37" xfId="25" applyNumberFormat="1" applyFont="1" applyFill="1" applyBorder="1" applyAlignment="1" applyProtection="1">
      <alignment horizontal="right" vertical="center"/>
      <protection locked="0"/>
    </xf>
    <xf numFmtId="169" fontId="40" fillId="16" borderId="17" xfId="0" applyNumberFormat="1" applyFont="1" applyFill="1" applyBorder="1" applyAlignment="1" applyProtection="1">
      <alignment horizontal="center" vertical="center"/>
      <protection locked="0"/>
    </xf>
    <xf numFmtId="0" fontId="41" fillId="0" borderId="68" xfId="0" applyFont="1" applyBorder="1" applyAlignment="1">
      <alignment vertical="center"/>
    </xf>
    <xf numFmtId="166" fontId="48" fillId="2" borderId="69" xfId="0" applyNumberFormat="1" applyFont="1" applyFill="1" applyBorder="1" applyAlignment="1">
      <alignment horizontal="right" vertical="center" wrapText="1"/>
    </xf>
    <xf numFmtId="3" fontId="41" fillId="2" borderId="69" xfId="0" applyNumberFormat="1" applyFont="1" applyFill="1" applyBorder="1" applyAlignment="1">
      <alignment horizontal="center" vertical="center"/>
    </xf>
    <xf numFmtId="4" fontId="41" fillId="2" borderId="69" xfId="0" applyNumberFormat="1" applyFont="1" applyFill="1" applyBorder="1" applyAlignment="1">
      <alignment horizontal="right" vertical="center"/>
    </xf>
    <xf numFmtId="4" fontId="41" fillId="2" borderId="69" xfId="0" quotePrefix="1" applyNumberFormat="1" applyFont="1" applyFill="1" applyBorder="1" applyAlignment="1">
      <alignment horizontal="right" vertical="center"/>
    </xf>
    <xf numFmtId="4" fontId="41" fillId="2" borderId="69" xfId="0" applyNumberFormat="1" applyFont="1" applyFill="1" applyBorder="1" applyAlignment="1">
      <alignment horizontal="center" vertical="center"/>
    </xf>
    <xf numFmtId="4" fontId="39" fillId="2" borderId="69" xfId="0" quotePrefix="1" applyNumberFormat="1" applyFont="1" applyFill="1" applyBorder="1" applyAlignment="1">
      <alignment horizontal="right" vertical="center"/>
    </xf>
    <xf numFmtId="2" fontId="39" fillId="2" borderId="69" xfId="0" applyNumberFormat="1" applyFont="1" applyFill="1" applyBorder="1" applyAlignment="1" applyProtection="1">
      <alignment horizontal="center" vertical="center"/>
      <protection locked="0"/>
    </xf>
    <xf numFmtId="165" fontId="39" fillId="2" borderId="70" xfId="0" quotePrefix="1" applyNumberFormat="1" applyFont="1" applyFill="1" applyBorder="1" applyAlignment="1" applyProtection="1">
      <alignment horizontal="center" vertical="center"/>
      <protection locked="0"/>
    </xf>
    <xf numFmtId="165" fontId="47" fillId="2" borderId="70" xfId="0" quotePrefix="1" applyNumberFormat="1" applyFont="1" applyFill="1" applyBorder="1" applyAlignment="1" applyProtection="1">
      <alignment horizontal="center" vertical="center"/>
      <protection locked="0"/>
    </xf>
    <xf numFmtId="0" fontId="43" fillId="0" borderId="71" xfId="0" applyFont="1" applyBorder="1" applyAlignment="1" applyProtection="1">
      <alignment vertical="center"/>
      <protection locked="0"/>
    </xf>
    <xf numFmtId="164" fontId="41" fillId="0" borderId="71" xfId="25" applyFont="1" applyBorder="1" applyAlignment="1" applyProtection="1">
      <alignment vertical="center"/>
      <protection locked="0"/>
    </xf>
    <xf numFmtId="0" fontId="41" fillId="0" borderId="72" xfId="0" applyFont="1" applyBorder="1" applyAlignment="1">
      <alignment vertical="center"/>
    </xf>
    <xf numFmtId="166" fontId="39" fillId="2" borderId="73" xfId="0" applyNumberFormat="1" applyFont="1" applyFill="1" applyBorder="1" applyAlignment="1">
      <alignment horizontal="center" vertical="center" wrapText="1"/>
    </xf>
    <xf numFmtId="3" fontId="41" fillId="2" borderId="73" xfId="0" applyNumberFormat="1" applyFont="1" applyFill="1" applyBorder="1" applyAlignment="1">
      <alignment horizontal="center" vertical="center"/>
    </xf>
    <xf numFmtId="4" fontId="41" fillId="2" borderId="73" xfId="0" applyNumberFormat="1" applyFont="1" applyFill="1" applyBorder="1" applyAlignment="1">
      <alignment horizontal="right" vertical="center"/>
    </xf>
    <xf numFmtId="4" fontId="41" fillId="2" borderId="73" xfId="0" quotePrefix="1" applyNumberFormat="1" applyFont="1" applyFill="1" applyBorder="1" applyAlignment="1">
      <alignment horizontal="right" vertical="center"/>
    </xf>
    <xf numFmtId="4" fontId="41" fillId="2" borderId="73" xfId="0" applyNumberFormat="1" applyFont="1" applyFill="1" applyBorder="1" applyAlignment="1">
      <alignment horizontal="center" vertical="center"/>
    </xf>
    <xf numFmtId="2" fontId="41" fillId="2" borderId="73" xfId="0" applyNumberFormat="1" applyFont="1" applyFill="1" applyBorder="1" applyAlignment="1" applyProtection="1">
      <alignment horizontal="center" vertical="center"/>
      <protection locked="0"/>
    </xf>
    <xf numFmtId="165" fontId="41" fillId="2" borderId="74" xfId="0" quotePrefix="1" applyNumberFormat="1" applyFont="1" applyFill="1" applyBorder="1" applyAlignment="1" applyProtection="1">
      <alignment horizontal="center" vertical="center"/>
      <protection locked="0"/>
    </xf>
    <xf numFmtId="165" fontId="43" fillId="2" borderId="74" xfId="0" quotePrefix="1" applyNumberFormat="1" applyFont="1" applyFill="1" applyBorder="1" applyAlignment="1" applyProtection="1">
      <alignment horizontal="center" vertical="center"/>
      <protection locked="0"/>
    </xf>
    <xf numFmtId="0" fontId="43" fillId="0" borderId="75" xfId="0" applyFont="1" applyBorder="1" applyAlignment="1" applyProtection="1">
      <alignment vertical="center"/>
      <protection locked="0"/>
    </xf>
    <xf numFmtId="164" fontId="41" fillId="0" borderId="75" xfId="25" applyFont="1" applyBorder="1" applyAlignment="1" applyProtection="1">
      <alignment vertical="center"/>
      <protection locked="0"/>
    </xf>
    <xf numFmtId="165" fontId="47" fillId="2" borderId="74" xfId="0" quotePrefix="1" applyNumberFormat="1" applyFont="1" applyFill="1" applyBorder="1" applyAlignment="1" applyProtection="1">
      <alignment horizontal="center" vertical="center"/>
      <protection locked="0"/>
    </xf>
    <xf numFmtId="166" fontId="41" fillId="0" borderId="73" xfId="0" applyNumberFormat="1" applyFont="1" applyBorder="1" applyAlignment="1">
      <alignment horizontal="right" vertical="center" wrapText="1"/>
    </xf>
    <xf numFmtId="4" fontId="41" fillId="0" borderId="73" xfId="0" applyNumberFormat="1" applyFont="1" applyBorder="1" applyAlignment="1">
      <alignment horizontal="center" vertical="center"/>
    </xf>
    <xf numFmtId="4" fontId="41" fillId="0" borderId="73" xfId="0" applyNumberFormat="1" applyFont="1" applyBorder="1" applyAlignment="1">
      <alignment horizontal="right" vertical="center"/>
    </xf>
    <xf numFmtId="4" fontId="41" fillId="0" borderId="73" xfId="0" quotePrefix="1" applyNumberFormat="1" applyFont="1" applyBorder="1" applyAlignment="1">
      <alignment horizontal="right" vertical="center"/>
    </xf>
    <xf numFmtId="2" fontId="41" fillId="0" borderId="73" xfId="0" applyNumberFormat="1" applyFont="1" applyBorder="1" applyAlignment="1" applyProtection="1">
      <alignment horizontal="center" vertical="center"/>
      <protection locked="0"/>
    </xf>
    <xf numFmtId="166" fontId="48" fillId="0" borderId="72" xfId="0" applyNumberFormat="1" applyFont="1" applyBorder="1" applyAlignment="1">
      <alignment horizontal="right" vertical="center"/>
    </xf>
    <xf numFmtId="166" fontId="48" fillId="0" borderId="73" xfId="0" applyNumberFormat="1" applyFont="1" applyBorder="1" applyAlignment="1">
      <alignment horizontal="right" vertical="center" wrapText="1"/>
    </xf>
    <xf numFmtId="3" fontId="41" fillId="0" borderId="73" xfId="0" applyNumberFormat="1" applyFont="1" applyBorder="1" applyAlignment="1">
      <alignment horizontal="center" vertical="center"/>
    </xf>
    <xf numFmtId="167" fontId="41" fillId="0" borderId="73" xfId="0" applyNumberFormat="1" applyFont="1" applyBorder="1" applyAlignment="1">
      <alignment horizontal="right" vertical="center"/>
    </xf>
    <xf numFmtId="4" fontId="39" fillId="0" borderId="73" xfId="0" quotePrefix="1" applyNumberFormat="1" applyFont="1" applyBorder="1" applyAlignment="1">
      <alignment horizontal="right" vertical="center"/>
    </xf>
    <xf numFmtId="168" fontId="39" fillId="0" borderId="73" xfId="0" applyNumberFormat="1" applyFont="1" applyBorder="1" applyAlignment="1" applyProtection="1">
      <alignment horizontal="center" vertical="center"/>
      <protection locked="0"/>
    </xf>
    <xf numFmtId="166" fontId="43" fillId="0" borderId="73" xfId="0" applyNumberFormat="1" applyFont="1" applyBorder="1" applyAlignment="1">
      <alignment horizontal="right" vertical="center" wrapText="1"/>
    </xf>
    <xf numFmtId="4" fontId="43" fillId="0" borderId="73" xfId="0" applyNumberFormat="1" applyFont="1" applyBorder="1" applyAlignment="1">
      <alignment horizontal="center" vertical="center"/>
    </xf>
    <xf numFmtId="4" fontId="43" fillId="0" borderId="73" xfId="0" applyNumberFormat="1" applyFont="1" applyBorder="1" applyAlignment="1">
      <alignment horizontal="right" vertical="center"/>
    </xf>
    <xf numFmtId="4" fontId="43" fillId="0" borderId="73" xfId="0" quotePrefix="1" applyNumberFormat="1" applyFont="1" applyBorder="1" applyAlignment="1">
      <alignment horizontal="right" vertical="center"/>
    </xf>
    <xf numFmtId="2" fontId="43" fillId="0" borderId="73" xfId="0" applyNumberFormat="1" applyFont="1" applyBorder="1" applyAlignment="1" applyProtection="1">
      <alignment horizontal="center" vertical="center"/>
      <protection locked="0"/>
    </xf>
    <xf numFmtId="165" fontId="39" fillId="0" borderId="74" xfId="0" quotePrefix="1" applyNumberFormat="1" applyFont="1" applyBorder="1" applyAlignment="1" applyProtection="1">
      <alignment horizontal="center" vertical="center"/>
      <protection locked="0"/>
    </xf>
    <xf numFmtId="165" fontId="47" fillId="0" borderId="74" xfId="0" quotePrefix="1" applyNumberFormat="1" applyFont="1" applyBorder="1" applyAlignment="1" applyProtection="1">
      <alignment horizontal="center" vertical="center"/>
      <protection locked="0"/>
    </xf>
    <xf numFmtId="168" fontId="41" fillId="0" borderId="73" xfId="0" applyNumberFormat="1" applyFont="1" applyBorder="1" applyAlignment="1" applyProtection="1">
      <alignment horizontal="center" vertical="center"/>
      <protection locked="0"/>
    </xf>
    <xf numFmtId="0" fontId="41" fillId="0" borderId="76" xfId="0" applyFont="1" applyBorder="1" applyAlignment="1">
      <alignment vertical="center"/>
    </xf>
    <xf numFmtId="166" fontId="41" fillId="0" borderId="77" xfId="0" applyNumberFormat="1" applyFont="1" applyBorder="1" applyAlignment="1">
      <alignment horizontal="right" vertical="center" wrapText="1"/>
    </xf>
    <xf numFmtId="3" fontId="41" fillId="0" borderId="77" xfId="0" applyNumberFormat="1" applyFont="1" applyBorder="1" applyAlignment="1">
      <alignment horizontal="center" vertical="center"/>
    </xf>
    <xf numFmtId="4" fontId="41" fillId="0" borderId="77" xfId="0" applyNumberFormat="1" applyFont="1" applyBorder="1" applyAlignment="1">
      <alignment horizontal="right" vertical="center"/>
    </xf>
    <xf numFmtId="4" fontId="39" fillId="0" borderId="77" xfId="0" applyNumberFormat="1" applyFont="1" applyBorder="1" applyAlignment="1">
      <alignment horizontal="center" vertical="center"/>
    </xf>
    <xf numFmtId="4" fontId="39" fillId="0" borderId="77" xfId="0" quotePrefix="1" applyNumberFormat="1" applyFont="1" applyBorder="1" applyAlignment="1">
      <alignment horizontal="right" vertical="center"/>
    </xf>
    <xf numFmtId="2" fontId="41" fillId="0" borderId="77" xfId="0" applyNumberFormat="1" applyFont="1" applyBorder="1" applyAlignment="1" applyProtection="1">
      <alignment horizontal="center" vertical="center"/>
      <protection locked="0"/>
    </xf>
    <xf numFmtId="165" fontId="39" fillId="0" borderId="78" xfId="0" quotePrefix="1" applyNumberFormat="1" applyFont="1" applyBorder="1" applyAlignment="1" applyProtection="1">
      <alignment horizontal="center" vertical="center"/>
      <protection locked="0"/>
    </xf>
    <xf numFmtId="165" fontId="47" fillId="0" borderId="78" xfId="0" quotePrefix="1" applyNumberFormat="1" applyFont="1" applyBorder="1" applyAlignment="1" applyProtection="1">
      <alignment horizontal="center" vertical="center"/>
      <protection locked="0"/>
    </xf>
    <xf numFmtId="0" fontId="43" fillId="0" borderId="79" xfId="0" applyFont="1" applyBorder="1" applyAlignment="1" applyProtection="1">
      <alignment vertical="center"/>
      <protection locked="0"/>
    </xf>
    <xf numFmtId="164" fontId="41" fillId="0" borderId="79" xfId="25" applyFont="1" applyBorder="1" applyAlignment="1" applyProtection="1">
      <alignment vertical="center"/>
      <protection locked="0"/>
    </xf>
    <xf numFmtId="166" fontId="48" fillId="0" borderId="72" xfId="0" applyNumberFormat="1" applyFont="1" applyFill="1" applyBorder="1" applyAlignment="1">
      <alignment horizontal="right" vertical="center"/>
    </xf>
    <xf numFmtId="166" fontId="48" fillId="0" borderId="73" xfId="0" applyNumberFormat="1" applyFont="1" applyFill="1" applyBorder="1" applyAlignment="1">
      <alignment horizontal="right" vertical="center" wrapText="1"/>
    </xf>
    <xf numFmtId="3" fontId="41" fillId="0" borderId="73" xfId="0" applyNumberFormat="1" applyFont="1" applyFill="1" applyBorder="1" applyAlignment="1">
      <alignment horizontal="center" vertical="center"/>
    </xf>
    <xf numFmtId="167" fontId="41" fillId="0" borderId="73" xfId="0" applyNumberFormat="1" applyFont="1" applyFill="1" applyBorder="1" applyAlignment="1">
      <alignment horizontal="right" vertical="center"/>
    </xf>
    <xf numFmtId="4" fontId="41" fillId="0" borderId="73" xfId="0" applyNumberFormat="1" applyFont="1" applyFill="1" applyBorder="1" applyAlignment="1">
      <alignment horizontal="right" vertical="center"/>
    </xf>
    <xf numFmtId="4" fontId="41" fillId="0" borderId="73" xfId="0" quotePrefix="1" applyNumberFormat="1" applyFont="1" applyFill="1" applyBorder="1" applyAlignment="1">
      <alignment horizontal="right" vertical="center"/>
    </xf>
    <xf numFmtId="4" fontId="41" fillId="0" borderId="73" xfId="0" applyNumberFormat="1" applyFont="1" applyFill="1" applyBorder="1" applyAlignment="1">
      <alignment horizontal="center" vertical="center"/>
    </xf>
    <xf numFmtId="4" fontId="39" fillId="0" borderId="73" xfId="0" quotePrefix="1" applyNumberFormat="1" applyFont="1" applyFill="1" applyBorder="1" applyAlignment="1">
      <alignment horizontal="right" vertical="center"/>
    </xf>
    <xf numFmtId="168" fontId="39" fillId="0" borderId="73" xfId="0" applyNumberFormat="1" applyFont="1" applyFill="1" applyBorder="1" applyAlignment="1" applyProtection="1">
      <alignment horizontal="center" vertical="center"/>
      <protection locked="0"/>
    </xf>
    <xf numFmtId="165" fontId="41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41" fillId="0" borderId="72" xfId="0" applyFont="1" applyFill="1" applyBorder="1" applyAlignment="1">
      <alignment vertical="center"/>
    </xf>
    <xf numFmtId="2" fontId="39" fillId="0" borderId="73" xfId="0" applyNumberFormat="1" applyFont="1" applyFill="1" applyBorder="1" applyAlignment="1" applyProtection="1">
      <alignment horizontal="center" vertical="center"/>
      <protection locked="0"/>
    </xf>
    <xf numFmtId="165" fontId="39" fillId="0" borderId="74" xfId="0" quotePrefix="1" applyNumberFormat="1" applyFont="1" applyFill="1" applyBorder="1" applyAlignment="1" applyProtection="1">
      <alignment horizontal="center" vertical="center"/>
      <protection locked="0"/>
    </xf>
    <xf numFmtId="166" fontId="39" fillId="0" borderId="73" xfId="0" applyNumberFormat="1" applyFont="1" applyFill="1" applyBorder="1" applyAlignment="1">
      <alignment horizontal="center" vertical="center" wrapText="1"/>
    </xf>
    <xf numFmtId="2" fontId="41" fillId="0" borderId="73" xfId="0" applyNumberFormat="1" applyFont="1" applyFill="1" applyBorder="1" applyAlignment="1" applyProtection="1">
      <alignment horizontal="center" vertical="center"/>
      <protection locked="0"/>
    </xf>
    <xf numFmtId="165" fontId="41" fillId="0" borderId="74" xfId="0" quotePrefix="1" applyNumberFormat="1" applyFont="1" applyFill="1" applyBorder="1" applyAlignment="1" applyProtection="1">
      <alignment horizontal="center" vertical="center"/>
      <protection locked="0"/>
    </xf>
    <xf numFmtId="166" fontId="41" fillId="0" borderId="73" xfId="0" applyNumberFormat="1" applyFont="1" applyFill="1" applyBorder="1" applyAlignment="1">
      <alignment horizontal="right" vertical="center" wrapText="1"/>
    </xf>
    <xf numFmtId="4" fontId="41" fillId="0" borderId="22" xfId="0" quotePrefix="1" applyNumberFormat="1" applyFont="1" applyFill="1" applyBorder="1" applyAlignment="1">
      <alignment horizontal="right" vertical="center"/>
    </xf>
    <xf numFmtId="166" fontId="39" fillId="0" borderId="73" xfId="0" applyNumberFormat="1" applyFont="1" applyFill="1" applyBorder="1" applyAlignment="1">
      <alignment horizontal="right" vertical="center" wrapText="1"/>
    </xf>
    <xf numFmtId="4" fontId="39" fillId="0" borderId="73" xfId="0" applyNumberFormat="1" applyFont="1" applyFill="1" applyBorder="1" applyAlignment="1">
      <alignment horizontal="center" vertical="center"/>
    </xf>
    <xf numFmtId="165" fontId="47" fillId="0" borderId="74" xfId="0" quotePrefix="1" applyNumberFormat="1" applyFont="1" applyFill="1" applyBorder="1" applyAlignment="1" applyProtection="1">
      <alignment horizontal="center" vertical="center"/>
      <protection locked="0"/>
    </xf>
    <xf numFmtId="165" fontId="47" fillId="0" borderId="23" xfId="0" quotePrefix="1" applyNumberFormat="1" applyFont="1" applyFill="1" applyBorder="1" applyAlignment="1" applyProtection="1">
      <alignment horizontal="center" vertical="center"/>
      <protection locked="0"/>
    </xf>
    <xf numFmtId="165" fontId="11" fillId="12" borderId="23" xfId="0" quotePrefix="1" applyNumberFormat="1" applyFont="1" applyFill="1" applyBorder="1" applyAlignment="1" applyProtection="1">
      <alignment horizontal="center" vertical="center"/>
      <protection locked="0"/>
    </xf>
    <xf numFmtId="164" fontId="58" fillId="12" borderId="0" xfId="25" applyFont="1" applyFill="1" applyProtection="1">
      <protection locked="0"/>
    </xf>
  </cellXfs>
  <cellStyles count="27">
    <cellStyle name="CE" xfId="2" xr:uid="{32EBED96-DD13-4E1B-9D2F-945B986BDF35}"/>
    <cellStyle name="Chap 1" xfId="3" xr:uid="{20C61C4B-B0B9-4086-B9E7-EE6BDE9F9DB0}"/>
    <cellStyle name="Euro" xfId="4" xr:uid="{753F4F62-A076-4832-BF9C-236EADF131F5}"/>
    <cellStyle name="Euro 2" xfId="5" xr:uid="{44AB96DC-1E46-417B-8EEC-F4A97D6D88B0}"/>
    <cellStyle name="Euro 2 2" xfId="6" xr:uid="{FA8BE294-B458-4917-8A45-F18EAB183AC5}"/>
    <cellStyle name="Euro 3" xfId="7" xr:uid="{F674ACAD-D490-4C87-BA09-29685B33A0AB}"/>
    <cellStyle name="Info Entete" xfId="8" xr:uid="{B01B37FD-BA71-4FCA-AA5D-DDFB7DB4090F}"/>
    <cellStyle name="Lot" xfId="9" xr:uid="{B8E13828-D47E-435D-87AC-C22121EA198E}"/>
    <cellStyle name="Migliaia" xfId="26" builtinId="3"/>
    <cellStyle name="Migliaia 2" xfId="11" xr:uid="{A3B02C22-AB8E-40BD-92A1-D3E2AEB1B8FC}"/>
    <cellStyle name="Migliaia 2 2" xfId="12" xr:uid="{0659D657-6C5A-4657-939A-309CDA757A5E}"/>
    <cellStyle name="Migliaia 3" xfId="10" xr:uid="{E2CF90A0-D17D-4446-8F05-ECE69AB2671C}"/>
    <cellStyle name="Normale" xfId="0" builtinId="0"/>
    <cellStyle name="Normale 2" xfId="13" xr:uid="{7544469B-DB0F-48C0-BE7E-A791D28E8D65}"/>
    <cellStyle name="Normale 2 2" xfId="14" xr:uid="{F0CBCE72-117D-4FA2-BFBA-2EF0D5DB77E7}"/>
    <cellStyle name="Normale 3" xfId="15" xr:uid="{587C1826-74F4-494A-98DB-0B3FBA56FFDA}"/>
    <cellStyle name="Normale 4" xfId="16" xr:uid="{45E58596-C6F0-422A-B31D-F1E493C4DE61}"/>
    <cellStyle name="Normale 5" xfId="17" xr:uid="{A4E710EF-8558-4847-BDF7-AB5D271066B0}"/>
    <cellStyle name="Normale 6" xfId="1" xr:uid="{69F12A8F-767C-4F8E-8B34-3F364B4C972C}"/>
    <cellStyle name="Percentuale" xfId="24" builtinId="5"/>
    <cellStyle name="Qte Structuree" xfId="18" xr:uid="{7B61A2A5-A785-4F65-80D9-87F5F4E8C040}"/>
    <cellStyle name="Titre Article" xfId="19" xr:uid="{7FFFB39E-71FE-4E0E-A26B-8887C4BE2969}"/>
    <cellStyle name="Titre Entete" xfId="20" xr:uid="{DED5D191-8965-4410-9C49-DA3A74A8963F}"/>
    <cellStyle name="Valuta" xfId="25" builtinId="4"/>
    <cellStyle name="Valuta 2" xfId="21" xr:uid="{A260AA1E-150F-4D21-933A-3C832DFEF48C}"/>
    <cellStyle name="Valuta 2 2" xfId="22" xr:uid="{D8E65622-C3C9-4A4E-9B28-F96E0993AD9F}"/>
    <cellStyle name="Valuta 3" xfId="23" xr:uid="{5D9A463A-62C1-47D9-AC09-F21B1DB2C468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171449</xdr:colOff>
      <xdr:row>0</xdr:row>
      <xdr:rowOff>152399</xdr:rowOff>
    </xdr:from>
    <xdr:to>
      <xdr:col>11</xdr:col>
      <xdr:colOff>1681693</xdr:colOff>
      <xdr:row>5</xdr:row>
      <xdr:rowOff>35284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id="{D4DE6939-E7D1-4478-AEF0-9C7980798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549" y="152399"/>
          <a:ext cx="1457326" cy="835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171449</xdr:colOff>
      <xdr:row>0</xdr:row>
      <xdr:rowOff>152399</xdr:rowOff>
    </xdr:from>
    <xdr:to>
      <xdr:col>11</xdr:col>
      <xdr:colOff>626599</xdr:colOff>
      <xdr:row>4</xdr:row>
      <xdr:rowOff>182628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FCD6A44-48AC-4939-8BDD-5089B5ACB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49" y="152399"/>
          <a:ext cx="1510244" cy="797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RADE%20e%20SERVIZI%20S.r.l.u\E2K%20-%20MARUDO\AGGIUDICAZIONE\C.M.%20MT%20-%20Marudo%20-%20x%20gara%20-%20Rev00%20-%20CHIUSURA.xlsx" TargetMode="External"/><Relationship Id="rId1" Type="http://schemas.openxmlformats.org/officeDocument/2006/relationships/externalLinkPath" Target="/STRADE%20e%20SERVIZI%20S.r.l.u/E2K%20-%20MARUDO/AGGIUDICAZIONE/C.M.%20MT%20-%20Marudo%20-%20x%20gara%20-%20Rev00%20-%20CHIUSUR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RADE%20e%20SERVIZI%20S.r.l.u\E2k%20-%20MARCALLO%20MESERO\OFFERTA%20ANGELO\C.M.%20MT%20-%20Mesero%20-%20LAVORO.xlsx" TargetMode="External"/><Relationship Id="rId1" Type="http://schemas.openxmlformats.org/officeDocument/2006/relationships/externalLinkPath" Target="/STRADE%20e%20SERVIZI%20S.r.l.u/E2k%20-%20MARCALLO%20MESERO/OFFERTA%20ANGELO/C.M.%20MT%20-%20Mesero%20-%20LAVO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pertina"/>
      <sheetName val="Sommario"/>
      <sheetName val="NOTE INCONTRO"/>
      <sheetName val="CHIUSURA"/>
      <sheetName val="LAVORO"/>
      <sheetName val="POSA IN OPERA"/>
    </sheetNames>
    <sheetDataSet>
      <sheetData sheetId="0"/>
      <sheetData sheetId="1"/>
      <sheetData sheetId="2"/>
      <sheetData sheetId="3"/>
      <sheetData sheetId="4">
        <row r="252">
          <cell r="P252">
            <v>14.68</v>
          </cell>
          <cell r="S252">
            <v>20.29</v>
          </cell>
        </row>
        <row r="255">
          <cell r="P255">
            <v>22.41</v>
          </cell>
          <cell r="S255">
            <v>63.75</v>
          </cell>
        </row>
        <row r="276">
          <cell r="P276">
            <v>36.659999999999997</v>
          </cell>
          <cell r="S276">
            <v>105.28</v>
          </cell>
        </row>
        <row r="279">
          <cell r="P279">
            <v>101.96</v>
          </cell>
          <cell r="S279">
            <v>177.08</v>
          </cell>
        </row>
        <row r="324">
          <cell r="P324">
            <v>137.44</v>
          </cell>
          <cell r="S324">
            <v>274.37</v>
          </cell>
        </row>
        <row r="418">
          <cell r="P418">
            <v>8.6300000000000008</v>
          </cell>
          <cell r="S418">
            <v>5.5</v>
          </cell>
        </row>
        <row r="431">
          <cell r="I431">
            <v>300</v>
          </cell>
          <cell r="P431">
            <v>49.99</v>
          </cell>
          <cell r="S431">
            <v>135.33000000000001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pertina"/>
      <sheetName val="Sommario"/>
      <sheetName val="CM"/>
      <sheetName val="POSA IN OPERA"/>
    </sheetNames>
    <sheetDataSet>
      <sheetData sheetId="0"/>
      <sheetData sheetId="1"/>
      <sheetData sheetId="2">
        <row r="123">
          <cell r="M123">
            <v>3</v>
          </cell>
        </row>
        <row r="128">
          <cell r="M128">
            <v>3</v>
          </cell>
        </row>
        <row r="160">
          <cell r="M160">
            <v>8</v>
          </cell>
        </row>
        <row r="253">
          <cell r="M253">
            <v>3.5</v>
          </cell>
        </row>
        <row r="297">
          <cell r="M297">
            <v>15</v>
          </cell>
        </row>
        <row r="324">
          <cell r="M324">
            <v>15.81</v>
          </cell>
          <cell r="P324">
            <v>28.82</v>
          </cell>
        </row>
        <row r="325">
          <cell r="M325">
            <v>18.670000000000002</v>
          </cell>
          <cell r="P325">
            <v>41.47</v>
          </cell>
        </row>
        <row r="326">
          <cell r="M326">
            <v>22.41</v>
          </cell>
          <cell r="P326">
            <v>63.75</v>
          </cell>
        </row>
        <row r="331">
          <cell r="M331">
            <v>28.96</v>
          </cell>
          <cell r="P331">
            <v>43.14</v>
          </cell>
        </row>
        <row r="332">
          <cell r="M332">
            <v>32.840000000000003</v>
          </cell>
          <cell r="P332">
            <v>56.74</v>
          </cell>
        </row>
        <row r="341">
          <cell r="M341">
            <v>72.489999999999995</v>
          </cell>
          <cell r="P341">
            <v>110.58</v>
          </cell>
        </row>
        <row r="351">
          <cell r="M351">
            <v>101.96</v>
          </cell>
          <cell r="P351">
            <v>177.08</v>
          </cell>
        </row>
        <row r="352">
          <cell r="M352">
            <v>137.44</v>
          </cell>
          <cell r="P352">
            <v>274.37</v>
          </cell>
        </row>
        <row r="353">
          <cell r="M353">
            <v>361.19</v>
          </cell>
          <cell r="P353">
            <v>364.76</v>
          </cell>
        </row>
        <row r="400">
          <cell r="M400">
            <v>500</v>
          </cell>
          <cell r="P400">
            <v>1018.4</v>
          </cell>
        </row>
        <row r="444">
          <cell r="M444">
            <v>6</v>
          </cell>
          <cell r="P444">
            <v>8.02</v>
          </cell>
        </row>
        <row r="515">
          <cell r="M515">
            <v>8.6300000000000008</v>
          </cell>
          <cell r="P515">
            <v>5.5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B1A9-6889-4146-9B95-0ECC1A9E8AC5}">
  <sheetPr>
    <pageSetUpPr fitToPage="1"/>
  </sheetPr>
  <dimension ref="A1:ADI265"/>
  <sheetViews>
    <sheetView tabSelected="1" topLeftCell="B1" zoomScale="85" zoomScaleNormal="85" workbookViewId="0">
      <pane ySplit="8" topLeftCell="A145" activePane="bottomLeft" state="frozen"/>
      <selection pane="bottomLeft" activeCell="O164" sqref="O164"/>
    </sheetView>
  </sheetViews>
  <sheetFormatPr defaultColWidth="9.109375" defaultRowHeight="14.4" x14ac:dyDescent="0.3"/>
  <cols>
    <col min="1" max="1" width="9.109375" style="6"/>
    <col min="2" max="2" width="95.6640625" style="6" bestFit="1" customWidth="1"/>
    <col min="3" max="7" width="9.109375" style="6"/>
    <col min="8" max="8" width="7.88671875" style="6" bestFit="1" customWidth="1"/>
    <col min="9" max="9" width="9.109375" style="18"/>
    <col min="10" max="11" width="9.109375" style="6"/>
    <col min="12" max="12" width="28.21875" style="23" bestFit="1" customWidth="1"/>
    <col min="13" max="13" width="18.5546875" style="6" bestFit="1" customWidth="1"/>
    <col min="14" max="14" width="12.33203125" style="270" bestFit="1" customWidth="1"/>
    <col min="15" max="15" width="61.6640625" style="291" bestFit="1" customWidth="1"/>
    <col min="16" max="16384" width="9.109375" style="6"/>
  </cols>
  <sheetData>
    <row r="1" spans="1:14" x14ac:dyDescent="0.3">
      <c r="A1" s="243"/>
      <c r="B1" s="244"/>
      <c r="C1" s="245"/>
      <c r="D1" s="246"/>
      <c r="E1" s="247"/>
      <c r="F1" s="247"/>
      <c r="G1" s="247"/>
      <c r="H1" s="247"/>
      <c r="I1" s="248"/>
      <c r="J1" s="247"/>
      <c r="K1" s="247"/>
      <c r="L1" s="249"/>
      <c r="M1" s="250"/>
      <c r="N1" s="268"/>
    </row>
    <row r="2" spans="1:14" x14ac:dyDescent="0.3">
      <c r="A2" s="251" t="s">
        <v>0</v>
      </c>
      <c r="B2" s="252">
        <v>45800</v>
      </c>
      <c r="C2" s="253"/>
      <c r="D2" s="254"/>
      <c r="E2" s="254"/>
      <c r="F2" s="254"/>
      <c r="G2" s="254"/>
      <c r="H2" s="254"/>
      <c r="I2" s="255"/>
      <c r="J2" s="254"/>
      <c r="K2" s="254"/>
      <c r="L2" s="256"/>
      <c r="M2" s="257"/>
      <c r="N2" s="268"/>
    </row>
    <row r="3" spans="1:14" x14ac:dyDescent="0.3">
      <c r="A3" s="251" t="s">
        <v>1</v>
      </c>
      <c r="B3" s="258" t="s">
        <v>2</v>
      </c>
      <c r="C3" s="253"/>
      <c r="D3" s="254"/>
      <c r="E3" s="254"/>
      <c r="F3" s="254"/>
      <c r="G3" s="254"/>
      <c r="H3" s="254"/>
      <c r="I3" s="255"/>
      <c r="J3" s="254"/>
      <c r="K3" s="254"/>
      <c r="L3" s="256"/>
      <c r="M3" s="257"/>
      <c r="N3" s="268"/>
    </row>
    <row r="4" spans="1:14" x14ac:dyDescent="0.3">
      <c r="A4" s="251" t="s">
        <v>3</v>
      </c>
      <c r="B4" s="258" t="s">
        <v>4</v>
      </c>
      <c r="C4" s="253"/>
      <c r="D4" s="254"/>
      <c r="E4" s="254"/>
      <c r="F4" s="254"/>
      <c r="G4" s="254"/>
      <c r="H4" s="254"/>
      <c r="I4" s="255"/>
      <c r="J4" s="254"/>
      <c r="K4" s="254"/>
      <c r="L4" s="256"/>
      <c r="M4" s="257"/>
      <c r="N4" s="268"/>
    </row>
    <row r="5" spans="1:14" x14ac:dyDescent="0.3">
      <c r="A5" s="251" t="s">
        <v>5</v>
      </c>
      <c r="B5" s="259" t="s">
        <v>6</v>
      </c>
      <c r="C5" s="253"/>
      <c r="D5" s="260"/>
      <c r="E5" s="260"/>
      <c r="F5" s="260"/>
      <c r="G5" s="260"/>
      <c r="H5" s="260"/>
      <c r="I5" s="255"/>
      <c r="J5" s="260"/>
      <c r="K5" s="260"/>
      <c r="L5" s="256"/>
      <c r="M5" s="257"/>
      <c r="N5" s="268"/>
    </row>
    <row r="6" spans="1:14" ht="15" thickBot="1" x14ac:dyDescent="0.35">
      <c r="A6" s="261"/>
      <c r="B6" s="262"/>
      <c r="C6" s="263"/>
      <c r="D6" s="264"/>
      <c r="E6" s="264"/>
      <c r="F6" s="264"/>
      <c r="G6" s="264"/>
      <c r="H6" s="264"/>
      <c r="I6" s="265"/>
      <c r="J6" s="264"/>
      <c r="K6" s="264"/>
      <c r="L6" s="266"/>
      <c r="M6" s="267"/>
      <c r="N6" s="268"/>
    </row>
    <row r="7" spans="1:14" x14ac:dyDescent="0.3">
      <c r="A7" s="27" t="s">
        <v>7</v>
      </c>
      <c r="B7" s="532" t="s">
        <v>8</v>
      </c>
      <c r="C7" s="29" t="s">
        <v>145</v>
      </c>
      <c r="D7" s="28" t="s">
        <v>9</v>
      </c>
      <c r="E7" s="28" t="s">
        <v>10</v>
      </c>
      <c r="F7" s="28" t="s">
        <v>11</v>
      </c>
      <c r="G7" s="28" t="s">
        <v>12</v>
      </c>
      <c r="H7" s="28" t="s">
        <v>13</v>
      </c>
      <c r="I7" s="28" t="s">
        <v>14</v>
      </c>
      <c r="J7" s="28" t="s">
        <v>15</v>
      </c>
      <c r="K7" s="28" t="s">
        <v>15</v>
      </c>
      <c r="L7" s="30" t="s">
        <v>16</v>
      </c>
      <c r="M7" s="7" t="s">
        <v>17</v>
      </c>
      <c r="N7" s="224"/>
    </row>
    <row r="8" spans="1:14" ht="15" thickBot="1" x14ac:dyDescent="0.35">
      <c r="A8" s="31"/>
      <c r="B8" s="533"/>
      <c r="C8" s="33" t="s">
        <v>18</v>
      </c>
      <c r="D8" s="32" t="s">
        <v>19</v>
      </c>
      <c r="E8" s="32" t="s">
        <v>19</v>
      </c>
      <c r="F8" s="32" t="s">
        <v>20</v>
      </c>
      <c r="G8" s="32" t="s">
        <v>21</v>
      </c>
      <c r="H8" s="32" t="s">
        <v>22</v>
      </c>
      <c r="I8" s="34" t="s">
        <v>23</v>
      </c>
      <c r="J8" s="35" t="s">
        <v>23</v>
      </c>
      <c r="K8" s="35" t="s">
        <v>23</v>
      </c>
      <c r="L8" s="36" t="s">
        <v>24</v>
      </c>
      <c r="M8" s="8" t="s">
        <v>25</v>
      </c>
      <c r="N8" s="224"/>
    </row>
    <row r="9" spans="1:14" ht="15" thickBot="1" x14ac:dyDescent="0.35">
      <c r="A9" s="211"/>
      <c r="B9" s="212"/>
      <c r="C9" s="213"/>
      <c r="D9" s="214"/>
      <c r="E9" s="214"/>
      <c r="F9" s="214"/>
      <c r="G9" s="214"/>
      <c r="H9" s="214"/>
      <c r="I9" s="215"/>
      <c r="J9" s="216"/>
      <c r="K9" s="216"/>
      <c r="L9" s="217"/>
      <c r="M9" s="218"/>
      <c r="N9" s="224"/>
    </row>
    <row r="10" spans="1:14" ht="15" customHeight="1" thickBot="1" x14ac:dyDescent="0.35">
      <c r="A10" s="227" t="s">
        <v>26</v>
      </c>
      <c r="B10" s="181" t="s">
        <v>167</v>
      </c>
      <c r="C10" s="112"/>
      <c r="D10" s="113"/>
      <c r="E10" s="113"/>
      <c r="F10" s="113"/>
      <c r="G10" s="113"/>
      <c r="H10" s="113"/>
      <c r="I10" s="113"/>
      <c r="J10" s="113"/>
      <c r="K10" s="114"/>
      <c r="L10" s="47"/>
      <c r="M10" s="21"/>
      <c r="N10" s="268"/>
    </row>
    <row r="11" spans="1:14" ht="15" customHeight="1" x14ac:dyDescent="0.3">
      <c r="A11" s="228"/>
      <c r="B11" s="55"/>
      <c r="C11" s="56"/>
      <c r="D11" s="57"/>
      <c r="E11" s="57"/>
      <c r="F11" s="57"/>
      <c r="G11" s="57"/>
      <c r="H11" s="57"/>
      <c r="I11" s="57"/>
      <c r="J11" s="57"/>
      <c r="K11" s="58"/>
      <c r="L11" s="38"/>
      <c r="M11" s="20"/>
      <c r="N11" s="268"/>
    </row>
    <row r="12" spans="1:14" ht="15" customHeight="1" x14ac:dyDescent="0.3">
      <c r="A12" s="228"/>
      <c r="B12" s="90" t="s">
        <v>175</v>
      </c>
      <c r="C12" s="168"/>
      <c r="D12" s="169"/>
      <c r="E12" s="169"/>
      <c r="F12" s="169"/>
      <c r="G12" s="169"/>
      <c r="H12" s="169"/>
      <c r="I12" s="169"/>
      <c r="J12" s="169"/>
      <c r="K12" s="170"/>
      <c r="L12" s="171"/>
      <c r="M12" s="172"/>
      <c r="N12" s="268"/>
    </row>
    <row r="13" spans="1:14" ht="15" customHeight="1" x14ac:dyDescent="0.3">
      <c r="A13" s="228"/>
      <c r="B13" s="160" t="s">
        <v>168</v>
      </c>
      <c r="C13" s="59"/>
      <c r="D13" s="60">
        <v>240</v>
      </c>
      <c r="E13" s="60"/>
      <c r="F13" s="161"/>
      <c r="G13" s="161"/>
      <c r="H13" s="161">
        <f t="shared" ref="H13:H21" si="0">PRODUCT(C13:G13)</f>
        <v>240</v>
      </c>
      <c r="I13" s="61" t="s">
        <v>169</v>
      </c>
      <c r="J13" s="61"/>
      <c r="K13" s="66">
        <f t="shared" ref="K13:K18" si="1">H13</f>
        <v>240</v>
      </c>
      <c r="L13" s="25">
        <v>50</v>
      </c>
      <c r="M13" s="5">
        <f>K13*L13</f>
        <v>12000</v>
      </c>
      <c r="N13" s="268"/>
    </row>
    <row r="14" spans="1:14" ht="15" customHeight="1" x14ac:dyDescent="0.3">
      <c r="A14" s="228"/>
      <c r="B14" s="63" t="s">
        <v>170</v>
      </c>
      <c r="C14" s="64"/>
      <c r="D14" s="65">
        <v>170</v>
      </c>
      <c r="E14" s="65"/>
      <c r="F14" s="66"/>
      <c r="G14" s="67"/>
      <c r="H14" s="161">
        <f t="shared" si="0"/>
        <v>170</v>
      </c>
      <c r="I14" s="68" t="s">
        <v>22</v>
      </c>
      <c r="J14" s="68"/>
      <c r="K14" s="66">
        <f t="shared" si="1"/>
        <v>170</v>
      </c>
      <c r="L14" s="25">
        <v>40</v>
      </c>
      <c r="M14" s="3">
        <f>K14*L14</f>
        <v>6800</v>
      </c>
      <c r="N14" s="268"/>
    </row>
    <row r="15" spans="1:14" ht="15" customHeight="1" x14ac:dyDescent="0.3">
      <c r="A15" s="228"/>
      <c r="B15" s="63" t="s">
        <v>183</v>
      </c>
      <c r="C15" s="64">
        <v>5</v>
      </c>
      <c r="D15" s="65"/>
      <c r="E15" s="65"/>
      <c r="F15" s="66"/>
      <c r="G15" s="67"/>
      <c r="H15" s="161">
        <f t="shared" si="0"/>
        <v>5</v>
      </c>
      <c r="I15" s="68" t="s">
        <v>18</v>
      </c>
      <c r="J15" s="68"/>
      <c r="K15" s="66">
        <f t="shared" si="1"/>
        <v>5</v>
      </c>
      <c r="L15" s="25">
        <v>800</v>
      </c>
      <c r="M15" s="3">
        <f t="shared" ref="M15" si="2">K15*L15</f>
        <v>4000</v>
      </c>
      <c r="N15" s="268"/>
    </row>
    <row r="16" spans="1:14" ht="15" customHeight="1" x14ac:dyDescent="0.3">
      <c r="A16" s="228"/>
      <c r="B16" s="63" t="s">
        <v>184</v>
      </c>
      <c r="C16" s="64">
        <v>6</v>
      </c>
      <c r="D16" s="65"/>
      <c r="E16" s="65"/>
      <c r="F16" s="66"/>
      <c r="G16" s="67"/>
      <c r="H16" s="161">
        <f t="shared" si="0"/>
        <v>6</v>
      </c>
      <c r="I16" s="68" t="s">
        <v>18</v>
      </c>
      <c r="J16" s="68"/>
      <c r="K16" s="66">
        <f t="shared" si="1"/>
        <v>6</v>
      </c>
      <c r="L16" s="25">
        <v>150</v>
      </c>
      <c r="M16" s="3">
        <f>K16*L16</f>
        <v>900</v>
      </c>
      <c r="N16" s="268"/>
    </row>
    <row r="17" spans="1:14" ht="15" customHeight="1" x14ac:dyDescent="0.3">
      <c r="A17" s="228"/>
      <c r="B17" s="63" t="s">
        <v>185</v>
      </c>
      <c r="C17" s="64">
        <v>2</v>
      </c>
      <c r="D17" s="65"/>
      <c r="E17" s="65"/>
      <c r="F17" s="66"/>
      <c r="G17" s="67"/>
      <c r="H17" s="161">
        <f t="shared" si="0"/>
        <v>2</v>
      </c>
      <c r="I17" s="68" t="s">
        <v>18</v>
      </c>
      <c r="J17" s="68"/>
      <c r="K17" s="66">
        <f t="shared" si="1"/>
        <v>2</v>
      </c>
      <c r="L17" s="25">
        <v>50</v>
      </c>
      <c r="M17" s="3">
        <f>K17*L17</f>
        <v>100</v>
      </c>
      <c r="N17" s="268"/>
    </row>
    <row r="18" spans="1:14" ht="15" customHeight="1" x14ac:dyDescent="0.3">
      <c r="A18" s="228"/>
      <c r="B18" s="63" t="s">
        <v>186</v>
      </c>
      <c r="C18" s="64">
        <v>7</v>
      </c>
      <c r="D18" s="65"/>
      <c r="E18" s="65"/>
      <c r="F18" s="66"/>
      <c r="G18" s="67"/>
      <c r="H18" s="161">
        <f t="shared" si="0"/>
        <v>7</v>
      </c>
      <c r="I18" s="68" t="s">
        <v>18</v>
      </c>
      <c r="J18" s="68"/>
      <c r="K18" s="66">
        <f t="shared" si="1"/>
        <v>7</v>
      </c>
      <c r="L18" s="25">
        <v>150</v>
      </c>
      <c r="M18" s="3">
        <f>K18*L18</f>
        <v>1050</v>
      </c>
      <c r="N18" s="268"/>
    </row>
    <row r="19" spans="1:14" ht="15" customHeight="1" x14ac:dyDescent="0.3">
      <c r="A19" s="228"/>
      <c r="B19" s="63" t="s">
        <v>172</v>
      </c>
      <c r="C19" s="64"/>
      <c r="D19" s="65">
        <f>105+5+5+9.5+8+45+20+5+5+36+36+5+5+20</f>
        <v>309.5</v>
      </c>
      <c r="E19" s="65"/>
      <c r="F19" s="66"/>
      <c r="G19" s="67"/>
      <c r="H19" s="161">
        <f t="shared" si="0"/>
        <v>309.5</v>
      </c>
      <c r="I19" s="68" t="s">
        <v>169</v>
      </c>
      <c r="J19" s="68"/>
      <c r="K19" s="66">
        <f t="shared" ref="K19:K20" si="3">H19</f>
        <v>309.5</v>
      </c>
      <c r="L19" s="25">
        <v>8</v>
      </c>
      <c r="M19" s="3">
        <f t="shared" ref="M19:M20" si="4">K19*L19</f>
        <v>2476</v>
      </c>
      <c r="N19" s="268"/>
    </row>
    <row r="20" spans="1:14" ht="15" customHeight="1" x14ac:dyDescent="0.3">
      <c r="A20" s="228"/>
      <c r="B20" s="63" t="s">
        <v>174</v>
      </c>
      <c r="C20" s="64"/>
      <c r="D20" s="65">
        <v>35</v>
      </c>
      <c r="E20" s="65"/>
      <c r="F20" s="66"/>
      <c r="G20" s="67">
        <v>3</v>
      </c>
      <c r="H20" s="161">
        <f t="shared" si="0"/>
        <v>105</v>
      </c>
      <c r="I20" s="68" t="s">
        <v>20</v>
      </c>
      <c r="J20" s="68"/>
      <c r="K20" s="66">
        <f t="shared" si="3"/>
        <v>105</v>
      </c>
      <c r="L20" s="25">
        <v>45</v>
      </c>
      <c r="M20" s="3">
        <f t="shared" si="4"/>
        <v>4725</v>
      </c>
      <c r="N20" s="268"/>
    </row>
    <row r="21" spans="1:14" ht="15" customHeight="1" x14ac:dyDescent="0.3">
      <c r="A21" s="228"/>
      <c r="B21" s="63" t="s">
        <v>173</v>
      </c>
      <c r="C21" s="64"/>
      <c r="D21" s="65">
        <v>42</v>
      </c>
      <c r="E21" s="65"/>
      <c r="F21" s="66"/>
      <c r="G21" s="67"/>
      <c r="H21" s="161">
        <f t="shared" si="0"/>
        <v>42</v>
      </c>
      <c r="I21" s="68" t="s">
        <v>169</v>
      </c>
      <c r="J21" s="68"/>
      <c r="K21" s="66">
        <f t="shared" ref="K21" si="5">H21</f>
        <v>42</v>
      </c>
      <c r="L21" s="25">
        <v>30</v>
      </c>
      <c r="M21" s="3">
        <f t="shared" ref="M21" si="6">K21*L21</f>
        <v>1260</v>
      </c>
      <c r="N21" s="268"/>
    </row>
    <row r="22" spans="1:14" ht="15" customHeight="1" x14ac:dyDescent="0.3">
      <c r="A22" s="228"/>
      <c r="B22" s="90" t="s">
        <v>176</v>
      </c>
      <c r="C22" s="64"/>
      <c r="D22" s="65"/>
      <c r="E22" s="65"/>
      <c r="F22" s="66"/>
      <c r="G22" s="67"/>
      <c r="H22" s="161"/>
      <c r="I22" s="68"/>
      <c r="J22" s="68"/>
      <c r="K22" s="66"/>
      <c r="L22" s="25"/>
      <c r="M22" s="3"/>
      <c r="N22" s="268"/>
    </row>
    <row r="23" spans="1:14" ht="15" customHeight="1" x14ac:dyDescent="0.3">
      <c r="A23" s="228"/>
      <c r="B23" s="63" t="s">
        <v>193</v>
      </c>
      <c r="C23" s="64"/>
      <c r="D23" s="65">
        <v>120</v>
      </c>
      <c r="E23" s="65"/>
      <c r="F23" s="66"/>
      <c r="G23" s="67"/>
      <c r="H23" s="161">
        <f t="shared" ref="H23" si="7">PRODUCT(C23:G23)</f>
        <v>120</v>
      </c>
      <c r="I23" s="68" t="s">
        <v>18</v>
      </c>
      <c r="J23" s="68"/>
      <c r="K23" s="66">
        <f t="shared" ref="K23" si="8">H23</f>
        <v>120</v>
      </c>
      <c r="L23" s="25">
        <f>123.87*1.05</f>
        <v>130.0635</v>
      </c>
      <c r="M23" s="3">
        <f t="shared" ref="M23" si="9">K23*L23</f>
        <v>15607.62</v>
      </c>
      <c r="N23" s="268" t="s">
        <v>202</v>
      </c>
    </row>
    <row r="24" spans="1:14" ht="15" customHeight="1" x14ac:dyDescent="0.3">
      <c r="A24" s="228"/>
      <c r="B24" s="63" t="s">
        <v>192</v>
      </c>
      <c r="C24" s="64"/>
      <c r="D24" s="65">
        <v>125</v>
      </c>
      <c r="E24" s="65"/>
      <c r="F24" s="66"/>
      <c r="G24" s="67"/>
      <c r="H24" s="161">
        <f>PRODUCT(C24:G24)</f>
        <v>125</v>
      </c>
      <c r="I24" s="68" t="s">
        <v>18</v>
      </c>
      <c r="J24" s="68"/>
      <c r="K24" s="66">
        <f t="shared" ref="K24" si="10">H24</f>
        <v>125</v>
      </c>
      <c r="L24" s="25">
        <v>41</v>
      </c>
      <c r="M24" s="3">
        <f t="shared" ref="M24" si="11">K24*L24</f>
        <v>5125</v>
      </c>
      <c r="N24" s="268"/>
    </row>
    <row r="25" spans="1:14" ht="15" customHeight="1" x14ac:dyDescent="0.3">
      <c r="A25" s="228"/>
      <c r="B25" s="63" t="s">
        <v>171</v>
      </c>
      <c r="C25" s="64">
        <v>4</v>
      </c>
      <c r="D25" s="65"/>
      <c r="E25" s="65"/>
      <c r="F25" s="66"/>
      <c r="G25" s="67"/>
      <c r="H25" s="161">
        <f>PRODUCT(C25:G25)</f>
        <v>4</v>
      </c>
      <c r="I25" s="68" t="s">
        <v>18</v>
      </c>
      <c r="J25" s="68"/>
      <c r="K25" s="66">
        <f t="shared" ref="K25" si="12">H25</f>
        <v>4</v>
      </c>
      <c r="L25" s="25">
        <v>330</v>
      </c>
      <c r="M25" s="3">
        <f t="shared" ref="M25" si="13">K25*L25</f>
        <v>1320</v>
      </c>
      <c r="N25" s="268"/>
    </row>
    <row r="26" spans="1:14" ht="15" customHeight="1" x14ac:dyDescent="0.3">
      <c r="A26" s="228"/>
      <c r="B26" s="63" t="s">
        <v>194</v>
      </c>
      <c r="C26" s="64"/>
      <c r="D26" s="65">
        <v>16</v>
      </c>
      <c r="E26" s="65"/>
      <c r="F26" s="66"/>
      <c r="G26" s="67"/>
      <c r="H26" s="161">
        <f>PRODUCT(C26:G26)</f>
        <v>16</v>
      </c>
      <c r="I26" s="68" t="s">
        <v>169</v>
      </c>
      <c r="J26" s="68"/>
      <c r="K26" s="66">
        <f t="shared" ref="K26" si="14">H26</f>
        <v>16</v>
      </c>
      <c r="L26" s="25">
        <v>32</v>
      </c>
      <c r="M26" s="3">
        <f t="shared" ref="M26" si="15">K26*L26</f>
        <v>512</v>
      </c>
      <c r="N26" s="268"/>
    </row>
    <row r="27" spans="1:14" ht="15" customHeight="1" thickBot="1" x14ac:dyDescent="0.35">
      <c r="A27" s="228"/>
      <c r="B27" s="173"/>
      <c r="C27" s="174"/>
      <c r="D27" s="175"/>
      <c r="E27" s="175"/>
      <c r="F27" s="176"/>
      <c r="G27" s="177"/>
      <c r="H27" s="176"/>
      <c r="I27" s="178"/>
      <c r="J27" s="178"/>
      <c r="K27" s="176"/>
      <c r="L27" s="179"/>
      <c r="M27" s="180"/>
      <c r="N27" s="268"/>
    </row>
    <row r="28" spans="1:14" ht="15" customHeight="1" thickBot="1" x14ac:dyDescent="0.35">
      <c r="A28" s="93" t="s">
        <v>26</v>
      </c>
      <c r="B28" s="94" t="s">
        <v>182</v>
      </c>
      <c r="C28" s="95"/>
      <c r="D28" s="96"/>
      <c r="E28" s="96"/>
      <c r="F28" s="96"/>
      <c r="G28" s="96"/>
      <c r="H28" s="96"/>
      <c r="I28" s="96"/>
      <c r="J28" s="96"/>
      <c r="K28" s="97"/>
      <c r="L28" s="43"/>
      <c r="M28" s="276">
        <f>SUM(M13:M26)</f>
        <v>55875.62</v>
      </c>
      <c r="N28" s="268"/>
    </row>
    <row r="29" spans="1:14" ht="15" thickBot="1" x14ac:dyDescent="0.35">
      <c r="A29" s="219"/>
      <c r="B29" s="220"/>
      <c r="C29" s="229"/>
      <c r="D29" s="230"/>
      <c r="E29" s="230"/>
      <c r="F29" s="230"/>
      <c r="G29" s="230"/>
      <c r="H29" s="230"/>
      <c r="I29" s="231"/>
      <c r="J29" s="232"/>
      <c r="K29" s="232"/>
      <c r="L29" s="233"/>
      <c r="M29" s="221"/>
      <c r="N29" s="224"/>
    </row>
    <row r="30" spans="1:14" ht="15" customHeight="1" thickBot="1" x14ac:dyDescent="0.35">
      <c r="A30" s="37" t="s">
        <v>66</v>
      </c>
      <c r="B30" s="182" t="s">
        <v>27</v>
      </c>
      <c r="C30" s="183"/>
      <c r="D30" s="184"/>
      <c r="E30" s="184"/>
      <c r="F30" s="184"/>
      <c r="G30" s="184"/>
      <c r="H30" s="184"/>
      <c r="I30" s="184"/>
      <c r="J30" s="184"/>
      <c r="K30" s="185"/>
      <c r="L30" s="186"/>
      <c r="M30" s="21"/>
      <c r="N30" s="224"/>
    </row>
    <row r="31" spans="1:14" ht="15" customHeight="1" x14ac:dyDescent="0.3">
      <c r="A31" s="54"/>
      <c r="B31" s="55"/>
      <c r="C31" s="56"/>
      <c r="D31" s="57"/>
      <c r="E31" s="57"/>
      <c r="F31" s="57"/>
      <c r="G31" s="57"/>
      <c r="H31" s="57"/>
      <c r="I31" s="57"/>
      <c r="J31" s="57"/>
      <c r="K31" s="58"/>
      <c r="L31" s="38"/>
      <c r="M31" s="20"/>
      <c r="N31" s="224"/>
    </row>
    <row r="32" spans="1:14" ht="16.5" customHeight="1" x14ac:dyDescent="0.3">
      <c r="A32" s="149"/>
      <c r="B32" s="160" t="s">
        <v>28</v>
      </c>
      <c r="C32" s="59"/>
      <c r="D32" s="60"/>
      <c r="E32" s="60"/>
      <c r="F32" s="161">
        <v>16127</v>
      </c>
      <c r="G32" s="161">
        <v>0.1</v>
      </c>
      <c r="H32" s="161">
        <f>PRODUCT(C32:G32)</f>
        <v>1612.7</v>
      </c>
      <c r="I32" s="61" t="s">
        <v>22</v>
      </c>
      <c r="J32" s="61"/>
      <c r="K32" s="66">
        <f>H32</f>
        <v>1612.7</v>
      </c>
      <c r="L32" s="25">
        <v>4.5999999999999996</v>
      </c>
      <c r="M32" s="5">
        <f>K32*L32</f>
        <v>7418.42</v>
      </c>
      <c r="N32" s="224" t="s">
        <v>203</v>
      </c>
    </row>
    <row r="33" spans="1:14" ht="16.5" customHeight="1" x14ac:dyDescent="0.3">
      <c r="A33" s="62"/>
      <c r="B33" s="63" t="s">
        <v>29</v>
      </c>
      <c r="C33" s="64"/>
      <c r="D33" s="65"/>
      <c r="E33" s="65"/>
      <c r="F33" s="66"/>
      <c r="G33" s="67"/>
      <c r="H33" s="66">
        <f>(1489*0.2)+(3620*0.4)</f>
        <v>1745.8</v>
      </c>
      <c r="I33" s="68" t="s">
        <v>22</v>
      </c>
      <c r="J33" s="68"/>
      <c r="K33" s="66">
        <f>H33</f>
        <v>1745.8</v>
      </c>
      <c r="L33" s="25">
        <v>4</v>
      </c>
      <c r="M33" s="3">
        <f>K33*L33</f>
        <v>6983.2</v>
      </c>
      <c r="N33" s="224" t="s">
        <v>203</v>
      </c>
    </row>
    <row r="34" spans="1:14" ht="16.5" customHeight="1" x14ac:dyDescent="0.3">
      <c r="A34" s="62"/>
      <c r="B34" s="162" t="s">
        <v>164</v>
      </c>
      <c r="C34" s="64"/>
      <c r="D34" s="65"/>
      <c r="E34" s="65"/>
      <c r="F34" s="66"/>
      <c r="G34" s="67"/>
      <c r="H34" s="66">
        <f>(5730*0.7)+(555*0.4)+(4745*0.2)</f>
        <v>5182</v>
      </c>
      <c r="I34" s="68" t="s">
        <v>22</v>
      </c>
      <c r="J34" s="68"/>
      <c r="K34" s="272">
        <f>H34</f>
        <v>5182</v>
      </c>
      <c r="L34" s="25">
        <v>3</v>
      </c>
      <c r="M34" s="3">
        <f>K34*L34</f>
        <v>15546</v>
      </c>
      <c r="N34" s="224"/>
    </row>
    <row r="35" spans="1:14" ht="16.5" customHeight="1" x14ac:dyDescent="0.3">
      <c r="A35" s="62"/>
      <c r="B35" s="63"/>
      <c r="C35" s="64"/>
      <c r="D35" s="65"/>
      <c r="E35" s="65"/>
      <c r="F35" s="66"/>
      <c r="G35" s="67"/>
      <c r="H35" s="66"/>
      <c r="I35" s="68"/>
      <c r="J35" s="68"/>
      <c r="K35" s="66"/>
      <c r="L35" s="25"/>
      <c r="M35" s="3"/>
      <c r="N35" s="224"/>
    </row>
    <row r="36" spans="1:14" ht="16.5" customHeight="1" x14ac:dyDescent="0.3">
      <c r="A36" s="62"/>
      <c r="B36" s="69" t="s">
        <v>31</v>
      </c>
      <c r="C36" s="64"/>
      <c r="D36" s="65"/>
      <c r="E36" s="65"/>
      <c r="F36" s="66"/>
      <c r="G36" s="67"/>
      <c r="H36" s="66"/>
      <c r="I36" s="68"/>
      <c r="J36" s="68"/>
      <c r="K36" s="66"/>
      <c r="L36" s="25"/>
      <c r="M36" s="3"/>
      <c r="N36" s="224"/>
    </row>
    <row r="37" spans="1:14" ht="16.5" customHeight="1" x14ac:dyDescent="0.3">
      <c r="A37" s="62"/>
      <c r="B37" s="151" t="s">
        <v>32</v>
      </c>
      <c r="C37" s="152"/>
      <c r="D37" s="65"/>
      <c r="E37" s="65"/>
      <c r="F37" s="66"/>
      <c r="G37" s="67"/>
      <c r="H37" s="66"/>
      <c r="I37" s="68"/>
      <c r="J37" s="68"/>
      <c r="K37" s="66"/>
      <c r="L37" s="25"/>
      <c r="M37" s="5"/>
      <c r="N37" s="224"/>
    </row>
    <row r="38" spans="1:14" ht="16.5" customHeight="1" x14ac:dyDescent="0.3">
      <c r="A38" s="62"/>
      <c r="B38" s="63" t="s">
        <v>33</v>
      </c>
      <c r="C38" s="64"/>
      <c r="D38" s="65"/>
      <c r="E38" s="65"/>
      <c r="F38" s="66">
        <v>2315</v>
      </c>
      <c r="G38" s="67">
        <v>0.3</v>
      </c>
      <c r="H38" s="66">
        <f>PRODUCT(F38:G38)</f>
        <v>694.5</v>
      </c>
      <c r="I38" s="68" t="s">
        <v>22</v>
      </c>
      <c r="J38" s="68"/>
      <c r="K38" s="66">
        <f>H38</f>
        <v>694.5</v>
      </c>
      <c r="L38" s="25"/>
      <c r="M38" s="5">
        <f>K38*L38</f>
        <v>0</v>
      </c>
      <c r="N38" s="224"/>
    </row>
    <row r="39" spans="1:14" ht="16.5" customHeight="1" x14ac:dyDescent="0.3">
      <c r="A39" s="62"/>
      <c r="B39" s="63" t="s">
        <v>34</v>
      </c>
      <c r="C39" s="64"/>
      <c r="D39" s="65"/>
      <c r="E39" s="65"/>
      <c r="F39" s="66">
        <v>3341</v>
      </c>
      <c r="G39" s="67">
        <v>0.3</v>
      </c>
      <c r="H39" s="66">
        <f>PRODUCT(F39:G39)</f>
        <v>1002.3</v>
      </c>
      <c r="I39" s="68" t="s">
        <v>22</v>
      </c>
      <c r="J39" s="68"/>
      <c r="K39" s="66">
        <f>H39</f>
        <v>1002.3</v>
      </c>
      <c r="L39" s="25"/>
      <c r="M39" s="5">
        <f>K39*L39</f>
        <v>0</v>
      </c>
      <c r="N39" s="224"/>
    </row>
    <row r="40" spans="1:14" ht="16.5" customHeight="1" x14ac:dyDescent="0.3">
      <c r="A40" s="62"/>
      <c r="B40" s="63" t="s">
        <v>35</v>
      </c>
      <c r="C40" s="64"/>
      <c r="D40" s="65"/>
      <c r="E40" s="65"/>
      <c r="F40" s="66">
        <v>10370</v>
      </c>
      <c r="G40" s="67">
        <v>0.4</v>
      </c>
      <c r="H40" s="66">
        <f t="shared" ref="H40" si="16">PRODUCT(F40:G40)</f>
        <v>4148</v>
      </c>
      <c r="I40" s="68" t="s">
        <v>22</v>
      </c>
      <c r="J40" s="68"/>
      <c r="K40" s="66">
        <f t="shared" ref="K40" si="17">H40</f>
        <v>4148</v>
      </c>
      <c r="L40" s="25"/>
      <c r="M40" s="5">
        <f>K40*L40</f>
        <v>0</v>
      </c>
      <c r="N40" s="224"/>
    </row>
    <row r="41" spans="1:14" ht="16.5" customHeight="1" x14ac:dyDescent="0.3">
      <c r="A41" s="62"/>
      <c r="B41" s="158" t="s">
        <v>36</v>
      </c>
      <c r="C41" s="64"/>
      <c r="D41" s="65"/>
      <c r="E41" s="65"/>
      <c r="F41" s="70">
        <f>SUM(F38:F40)</f>
        <v>16026</v>
      </c>
      <c r="G41" s="70"/>
      <c r="H41" s="70">
        <f>SUM(H38:H40)</f>
        <v>5844.8</v>
      </c>
      <c r="I41" s="159" t="s">
        <v>22</v>
      </c>
      <c r="J41" s="159"/>
      <c r="K41" s="70">
        <f>SUM(K38:K40)</f>
        <v>5844.8</v>
      </c>
      <c r="L41" s="25">
        <v>12.8</v>
      </c>
      <c r="M41" s="5">
        <f>K41*L41</f>
        <v>74813.440000000002</v>
      </c>
      <c r="N41" s="224"/>
    </row>
    <row r="42" spans="1:14" ht="16.5" customHeight="1" x14ac:dyDescent="0.3">
      <c r="A42" s="62"/>
      <c r="B42" s="63"/>
      <c r="C42" s="64"/>
      <c r="D42" s="65"/>
      <c r="E42" s="65"/>
      <c r="F42" s="66"/>
      <c r="G42" s="67"/>
      <c r="H42" s="66"/>
      <c r="I42" s="68"/>
      <c r="J42" s="68"/>
      <c r="K42" s="66"/>
      <c r="L42" s="25"/>
      <c r="M42" s="3"/>
      <c r="N42" s="224"/>
    </row>
    <row r="43" spans="1:14" ht="16.5" customHeight="1" x14ac:dyDescent="0.3">
      <c r="A43" s="62"/>
      <c r="B43" s="71" t="s">
        <v>37</v>
      </c>
      <c r="C43" s="64"/>
      <c r="D43" s="65"/>
      <c r="E43" s="65"/>
      <c r="F43" s="66"/>
      <c r="G43" s="67"/>
      <c r="H43" s="66"/>
      <c r="I43" s="68"/>
      <c r="J43" s="68"/>
      <c r="K43" s="66"/>
      <c r="L43" s="25"/>
      <c r="M43" s="3"/>
      <c r="N43" s="224"/>
    </row>
    <row r="44" spans="1:14" ht="16.5" customHeight="1" x14ac:dyDescent="0.3">
      <c r="A44" s="62"/>
      <c r="B44" s="63" t="s">
        <v>38</v>
      </c>
      <c r="C44" s="64"/>
      <c r="D44" s="65"/>
      <c r="E44" s="65"/>
      <c r="F44" s="66">
        <v>2148</v>
      </c>
      <c r="G44" s="67">
        <v>0.3</v>
      </c>
      <c r="H44" s="66">
        <f>PRODUCT(F44:G44)</f>
        <v>644.4</v>
      </c>
      <c r="I44" s="68" t="s">
        <v>22</v>
      </c>
      <c r="J44" s="68"/>
      <c r="K44" s="66">
        <f>H44</f>
        <v>644.4</v>
      </c>
      <c r="L44" s="25"/>
      <c r="M44" s="5">
        <f t="shared" ref="M44:M51" si="18">K44*L44</f>
        <v>0</v>
      </c>
      <c r="N44" s="224"/>
    </row>
    <row r="45" spans="1:14" ht="16.5" customHeight="1" x14ac:dyDescent="0.3">
      <c r="A45" s="62"/>
      <c r="B45" s="63" t="s">
        <v>39</v>
      </c>
      <c r="C45" s="64"/>
      <c r="D45" s="65"/>
      <c r="E45" s="65"/>
      <c r="F45" s="66">
        <v>2064</v>
      </c>
      <c r="G45" s="67">
        <v>0.3</v>
      </c>
      <c r="H45" s="66">
        <f t="shared" ref="H45:H48" si="19">PRODUCT(F45:G45)</f>
        <v>619.19999999999993</v>
      </c>
      <c r="I45" s="68" t="s">
        <v>22</v>
      </c>
      <c r="J45" s="68"/>
      <c r="K45" s="66">
        <f t="shared" ref="K45:K48" si="20">H45</f>
        <v>619.19999999999993</v>
      </c>
      <c r="L45" s="25"/>
      <c r="M45" s="5">
        <f t="shared" si="18"/>
        <v>0</v>
      </c>
      <c r="N45" s="224"/>
    </row>
    <row r="46" spans="1:14" ht="16.5" customHeight="1" x14ac:dyDescent="0.3">
      <c r="A46" s="62"/>
      <c r="B46" s="63" t="s">
        <v>40</v>
      </c>
      <c r="C46" s="64"/>
      <c r="D46" s="65"/>
      <c r="E46" s="65"/>
      <c r="F46" s="66">
        <v>246</v>
      </c>
      <c r="G46" s="67">
        <v>0.3</v>
      </c>
      <c r="H46" s="66">
        <f t="shared" si="19"/>
        <v>73.8</v>
      </c>
      <c r="I46" s="68" t="s">
        <v>22</v>
      </c>
      <c r="J46" s="68"/>
      <c r="K46" s="66">
        <f t="shared" si="20"/>
        <v>73.8</v>
      </c>
      <c r="L46" s="25"/>
      <c r="M46" s="5">
        <f t="shared" si="18"/>
        <v>0</v>
      </c>
      <c r="N46" s="224"/>
    </row>
    <row r="47" spans="1:14" ht="16.5" customHeight="1" x14ac:dyDescent="0.3">
      <c r="A47" s="62"/>
      <c r="B47" s="63" t="s">
        <v>41</v>
      </c>
      <c r="C47" s="64"/>
      <c r="D47" s="65"/>
      <c r="E47" s="65"/>
      <c r="F47" s="66">
        <v>107</v>
      </c>
      <c r="G47" s="67">
        <v>0.24</v>
      </c>
      <c r="H47" s="66">
        <f t="shared" si="19"/>
        <v>25.68</v>
      </c>
      <c r="I47" s="68" t="s">
        <v>22</v>
      </c>
      <c r="J47" s="68"/>
      <c r="K47" s="66">
        <f t="shared" si="20"/>
        <v>25.68</v>
      </c>
      <c r="L47" s="25"/>
      <c r="M47" s="5">
        <f t="shared" si="18"/>
        <v>0</v>
      </c>
      <c r="N47" s="224"/>
    </row>
    <row r="48" spans="1:14" ht="16.5" customHeight="1" x14ac:dyDescent="0.3">
      <c r="A48" s="62"/>
      <c r="B48" s="63" t="s">
        <v>42</v>
      </c>
      <c r="C48" s="64"/>
      <c r="D48" s="65"/>
      <c r="E48" s="65"/>
      <c r="F48" s="66">
        <v>405</v>
      </c>
      <c r="G48" s="67">
        <v>0.3</v>
      </c>
      <c r="H48" s="66">
        <f t="shared" si="19"/>
        <v>121.5</v>
      </c>
      <c r="I48" s="68" t="s">
        <v>22</v>
      </c>
      <c r="J48" s="68"/>
      <c r="K48" s="66">
        <f t="shared" si="20"/>
        <v>121.5</v>
      </c>
      <c r="L48" s="25"/>
      <c r="M48" s="5">
        <f t="shared" si="18"/>
        <v>0</v>
      </c>
      <c r="N48" s="224"/>
    </row>
    <row r="49" spans="1:15" ht="16.5" customHeight="1" x14ac:dyDescent="0.3">
      <c r="A49" s="62"/>
      <c r="B49" s="63" t="s">
        <v>43</v>
      </c>
      <c r="C49" s="64"/>
      <c r="D49" s="65"/>
      <c r="E49" s="65"/>
      <c r="F49" s="66">
        <v>10263</v>
      </c>
      <c r="G49" s="67">
        <v>0.39</v>
      </c>
      <c r="H49" s="66">
        <f>PRODUCT(F49:G49)</f>
        <v>4002.57</v>
      </c>
      <c r="I49" s="68" t="s">
        <v>22</v>
      </c>
      <c r="J49" s="68"/>
      <c r="K49" s="66">
        <f>H49</f>
        <v>4002.57</v>
      </c>
      <c r="L49" s="25"/>
      <c r="M49" s="5">
        <f t="shared" si="18"/>
        <v>0</v>
      </c>
      <c r="N49" s="224"/>
    </row>
    <row r="50" spans="1:15" ht="16.5" customHeight="1" x14ac:dyDescent="0.3">
      <c r="A50" s="62"/>
      <c r="B50" s="63" t="s">
        <v>44</v>
      </c>
      <c r="C50" s="64"/>
      <c r="D50" s="65"/>
      <c r="E50" s="65"/>
      <c r="F50" s="66">
        <v>383</v>
      </c>
      <c r="G50" s="67">
        <v>0.3</v>
      </c>
      <c r="H50" s="66">
        <f>PRODUCT(F50:G50)</f>
        <v>114.89999999999999</v>
      </c>
      <c r="I50" s="68" t="s">
        <v>22</v>
      </c>
      <c r="J50" s="68"/>
      <c r="K50" s="66">
        <f>H50</f>
        <v>114.89999999999999</v>
      </c>
      <c r="L50" s="25"/>
      <c r="M50" s="5">
        <f t="shared" si="18"/>
        <v>0</v>
      </c>
      <c r="N50" s="224"/>
    </row>
    <row r="51" spans="1:15" ht="16.5" customHeight="1" x14ac:dyDescent="0.3">
      <c r="A51" s="62"/>
      <c r="B51" s="158" t="s">
        <v>45</v>
      </c>
      <c r="C51" s="64"/>
      <c r="D51" s="65"/>
      <c r="E51" s="65"/>
      <c r="F51" s="70">
        <f>SUM(F44:F50)</f>
        <v>15616</v>
      </c>
      <c r="G51" s="70"/>
      <c r="H51" s="70">
        <f>SUM(H44:H50)</f>
        <v>5602.0499999999993</v>
      </c>
      <c r="I51" s="159" t="s">
        <v>22</v>
      </c>
      <c r="J51" s="159"/>
      <c r="K51" s="70">
        <f>SUM(K44:K50)</f>
        <v>5602.0499999999993</v>
      </c>
      <c r="L51" s="25">
        <v>15</v>
      </c>
      <c r="M51" s="5">
        <f t="shared" si="18"/>
        <v>84030.749999999985</v>
      </c>
      <c r="N51" s="224"/>
    </row>
    <row r="52" spans="1:15" ht="16.5" customHeight="1" x14ac:dyDescent="0.3">
      <c r="A52" s="62"/>
      <c r="B52" s="63"/>
      <c r="C52" s="64"/>
      <c r="D52" s="65"/>
      <c r="E52" s="65"/>
      <c r="F52" s="66"/>
      <c r="G52" s="67"/>
      <c r="H52" s="66"/>
      <c r="I52" s="68"/>
      <c r="J52" s="68"/>
      <c r="K52" s="66"/>
      <c r="L52" s="25"/>
      <c r="M52" s="3"/>
      <c r="N52" s="224"/>
    </row>
    <row r="53" spans="1:15" ht="16.5" customHeight="1" x14ac:dyDescent="0.3">
      <c r="A53" s="62"/>
      <c r="B53" s="71" t="s">
        <v>46</v>
      </c>
      <c r="C53" s="64"/>
      <c r="D53" s="65"/>
      <c r="E53" s="65"/>
      <c r="F53" s="66"/>
      <c r="G53" s="67"/>
      <c r="H53" s="66"/>
      <c r="I53" s="68"/>
      <c r="J53" s="68"/>
      <c r="K53" s="66"/>
      <c r="L53" s="25"/>
      <c r="M53" s="3"/>
      <c r="N53" s="224"/>
    </row>
    <row r="54" spans="1:15" ht="16.5" customHeight="1" x14ac:dyDescent="0.3">
      <c r="A54" s="62"/>
      <c r="B54" s="63" t="s">
        <v>47</v>
      </c>
      <c r="C54" s="64"/>
      <c r="D54" s="65"/>
      <c r="E54" s="65"/>
      <c r="F54" s="66">
        <v>2148</v>
      </c>
      <c r="G54" s="67">
        <v>0.05</v>
      </c>
      <c r="H54" s="66">
        <f>PRODUCT(F54:G54)</f>
        <v>107.4</v>
      </c>
      <c r="I54" s="68" t="s">
        <v>22</v>
      </c>
      <c r="J54" s="68"/>
      <c r="K54" s="66">
        <f>H54</f>
        <v>107.4</v>
      </c>
      <c r="L54" s="25"/>
      <c r="M54" s="5">
        <f t="shared" ref="M54:M59" si="21">K54*L54</f>
        <v>0</v>
      </c>
      <c r="N54" s="224"/>
    </row>
    <row r="55" spans="1:15" ht="16.5" customHeight="1" x14ac:dyDescent="0.3">
      <c r="A55" s="62"/>
      <c r="B55" s="63" t="s">
        <v>48</v>
      </c>
      <c r="C55" s="64"/>
      <c r="D55" s="65"/>
      <c r="E55" s="65"/>
      <c r="F55" s="66">
        <v>2064</v>
      </c>
      <c r="G55" s="67">
        <v>0.1</v>
      </c>
      <c r="H55" s="66">
        <f t="shared" ref="H55:H56" si="22">PRODUCT(F55:G55)</f>
        <v>206.4</v>
      </c>
      <c r="I55" s="68" t="s">
        <v>22</v>
      </c>
      <c r="J55" s="68"/>
      <c r="K55" s="66">
        <f t="shared" ref="K55:K56" si="23">H55</f>
        <v>206.4</v>
      </c>
      <c r="L55" s="25"/>
      <c r="M55" s="5">
        <f t="shared" si="21"/>
        <v>0</v>
      </c>
      <c r="N55" s="224"/>
    </row>
    <row r="56" spans="1:15" ht="16.5" customHeight="1" x14ac:dyDescent="0.3">
      <c r="A56" s="62"/>
      <c r="B56" s="63" t="s">
        <v>49</v>
      </c>
      <c r="C56" s="64"/>
      <c r="D56" s="65"/>
      <c r="E56" s="65"/>
      <c r="F56" s="66">
        <v>246</v>
      </c>
      <c r="G56" s="67">
        <v>0.05</v>
      </c>
      <c r="H56" s="66">
        <f t="shared" si="22"/>
        <v>12.3</v>
      </c>
      <c r="I56" s="68" t="s">
        <v>22</v>
      </c>
      <c r="J56" s="68"/>
      <c r="K56" s="66">
        <f t="shared" si="23"/>
        <v>12.3</v>
      </c>
      <c r="L56" s="25"/>
      <c r="M56" s="5">
        <f t="shared" si="21"/>
        <v>0</v>
      </c>
      <c r="N56" s="224"/>
    </row>
    <row r="57" spans="1:15" ht="16.5" customHeight="1" x14ac:dyDescent="0.3">
      <c r="A57" s="62"/>
      <c r="B57" s="63" t="s">
        <v>50</v>
      </c>
      <c r="C57" s="64"/>
      <c r="D57" s="65"/>
      <c r="E57" s="65"/>
      <c r="F57" s="66">
        <v>405</v>
      </c>
      <c r="G57" s="67">
        <v>0.05</v>
      </c>
      <c r="H57" s="66">
        <f t="shared" ref="H57" si="24">PRODUCT(F57:G57)</f>
        <v>20.25</v>
      </c>
      <c r="I57" s="68" t="s">
        <v>22</v>
      </c>
      <c r="J57" s="68"/>
      <c r="K57" s="66">
        <f t="shared" ref="K57" si="25">H57</f>
        <v>20.25</v>
      </c>
      <c r="L57" s="25"/>
      <c r="M57" s="5">
        <f t="shared" si="21"/>
        <v>0</v>
      </c>
      <c r="N57" s="224"/>
    </row>
    <row r="58" spans="1:15" ht="16.5" customHeight="1" x14ac:dyDescent="0.3">
      <c r="A58" s="62"/>
      <c r="B58" s="63" t="s">
        <v>51</v>
      </c>
      <c r="C58" s="64"/>
      <c r="D58" s="65"/>
      <c r="E58" s="65"/>
      <c r="F58" s="66">
        <v>10263</v>
      </c>
      <c r="G58" s="67">
        <v>0.05</v>
      </c>
      <c r="H58" s="66">
        <f>PRODUCT(F58:G58)</f>
        <v>513.15</v>
      </c>
      <c r="I58" s="68" t="s">
        <v>22</v>
      </c>
      <c r="J58" s="68"/>
      <c r="K58" s="66">
        <f>H58</f>
        <v>513.15</v>
      </c>
      <c r="L58" s="25"/>
      <c r="M58" s="5">
        <f t="shared" si="21"/>
        <v>0</v>
      </c>
      <c r="N58" s="224"/>
    </row>
    <row r="59" spans="1:15" ht="16.5" customHeight="1" x14ac:dyDescent="0.3">
      <c r="A59" s="62"/>
      <c r="B59" s="63" t="s">
        <v>52</v>
      </c>
      <c r="C59" s="64"/>
      <c r="D59" s="65"/>
      <c r="E59" s="65"/>
      <c r="F59" s="66">
        <v>383</v>
      </c>
      <c r="G59" s="67">
        <v>0.1</v>
      </c>
      <c r="H59" s="66">
        <f>PRODUCT(F59:G59)</f>
        <v>38.300000000000004</v>
      </c>
      <c r="I59" s="68" t="s">
        <v>22</v>
      </c>
      <c r="J59" s="68"/>
      <c r="K59" s="66">
        <f>H59</f>
        <v>38.300000000000004</v>
      </c>
      <c r="L59" s="25"/>
      <c r="M59" s="5">
        <f t="shared" si="21"/>
        <v>0</v>
      </c>
      <c r="N59" s="224"/>
    </row>
    <row r="60" spans="1:15" ht="16.5" customHeight="1" x14ac:dyDescent="0.3">
      <c r="A60" s="62"/>
      <c r="B60" s="158" t="s">
        <v>53</v>
      </c>
      <c r="C60" s="64"/>
      <c r="D60" s="65"/>
      <c r="E60" s="65"/>
      <c r="F60" s="70">
        <f>SUM(F54:F59)</f>
        <v>15509</v>
      </c>
      <c r="G60" s="70"/>
      <c r="H60" s="70">
        <f>SUM(H54:H59)</f>
        <v>897.8</v>
      </c>
      <c r="I60" s="159" t="s">
        <v>22</v>
      </c>
      <c r="J60" s="159"/>
      <c r="K60" s="70">
        <f>SUM(K54:K59)</f>
        <v>897.8</v>
      </c>
      <c r="L60" s="25">
        <v>36</v>
      </c>
      <c r="M60" s="5">
        <f t="shared" ref="M60" si="26">K60*L60</f>
        <v>32320.799999999999</v>
      </c>
      <c r="N60" s="224"/>
    </row>
    <row r="61" spans="1:15" ht="16.5" customHeight="1" x14ac:dyDescent="0.3">
      <c r="A61" s="62"/>
      <c r="B61" s="63"/>
      <c r="C61" s="64"/>
      <c r="D61" s="65"/>
      <c r="E61" s="65"/>
      <c r="F61" s="66"/>
      <c r="G61" s="67"/>
      <c r="H61" s="66"/>
      <c r="I61" s="68"/>
      <c r="J61" s="68"/>
      <c r="K61" s="66"/>
      <c r="L61" s="25"/>
      <c r="M61" s="3"/>
      <c r="N61" s="224"/>
    </row>
    <row r="62" spans="1:15" ht="16.5" customHeight="1" x14ac:dyDescent="0.3">
      <c r="A62" s="62"/>
      <c r="B62" s="71" t="s">
        <v>54</v>
      </c>
      <c r="C62" s="64"/>
      <c r="D62" s="65"/>
      <c r="E62" s="65"/>
      <c r="F62" s="66"/>
      <c r="G62" s="67"/>
      <c r="H62" s="66"/>
      <c r="I62" s="68"/>
      <c r="J62" s="68"/>
      <c r="K62" s="66"/>
      <c r="L62" s="25"/>
      <c r="M62" s="3"/>
      <c r="N62" s="224"/>
    </row>
    <row r="63" spans="1:15" ht="16.5" customHeight="1" x14ac:dyDescent="0.3">
      <c r="A63" s="62"/>
      <c r="B63" s="63" t="s">
        <v>55</v>
      </c>
      <c r="C63" s="64"/>
      <c r="D63" s="65"/>
      <c r="E63" s="65"/>
      <c r="F63" s="66">
        <v>2064</v>
      </c>
      <c r="G63" s="67"/>
      <c r="H63" s="66">
        <f t="shared" ref="H63:H67" si="27">PRODUCT(F63:G63)</f>
        <v>2064</v>
      </c>
      <c r="I63" s="68" t="s">
        <v>20</v>
      </c>
      <c r="J63" s="68"/>
      <c r="K63" s="66">
        <f t="shared" ref="K63:K67" si="28">H63</f>
        <v>2064</v>
      </c>
      <c r="L63" s="25">
        <v>10.28</v>
      </c>
      <c r="M63" s="3">
        <f>K63*L63</f>
        <v>21217.919999999998</v>
      </c>
      <c r="N63" s="224"/>
    </row>
    <row r="64" spans="1:15" ht="16.5" customHeight="1" x14ac:dyDescent="0.3">
      <c r="A64" s="62"/>
      <c r="B64" s="63" t="s">
        <v>56</v>
      </c>
      <c r="C64" s="64"/>
      <c r="D64" s="65"/>
      <c r="E64" s="65"/>
      <c r="F64" s="66">
        <f>F63</f>
        <v>2064</v>
      </c>
      <c r="G64" s="67"/>
      <c r="H64" s="66">
        <f t="shared" si="27"/>
        <v>2064</v>
      </c>
      <c r="I64" s="68" t="s">
        <v>20</v>
      </c>
      <c r="J64" s="68"/>
      <c r="K64" s="66">
        <f t="shared" si="28"/>
        <v>2064</v>
      </c>
      <c r="L64" s="25">
        <v>19.5</v>
      </c>
      <c r="M64" s="3">
        <f>K64*L64</f>
        <v>40248</v>
      </c>
      <c r="N64" s="224"/>
      <c r="O64" s="292"/>
    </row>
    <row r="65" spans="1:15" ht="16.5" customHeight="1" x14ac:dyDescent="0.3">
      <c r="A65" s="62"/>
      <c r="B65" s="63" t="s">
        <v>57</v>
      </c>
      <c r="C65" s="64"/>
      <c r="D65" s="65"/>
      <c r="E65" s="65"/>
      <c r="F65" s="66">
        <f>F56</f>
        <v>246</v>
      </c>
      <c r="G65" s="67"/>
      <c r="H65" s="66">
        <f t="shared" si="27"/>
        <v>246</v>
      </c>
      <c r="I65" s="68" t="s">
        <v>20</v>
      </c>
      <c r="J65" s="68"/>
      <c r="K65" s="66">
        <f t="shared" si="28"/>
        <v>246</v>
      </c>
      <c r="L65" s="25">
        <v>38.5</v>
      </c>
      <c r="M65" s="3">
        <f>K65*L65</f>
        <v>9471</v>
      </c>
      <c r="N65" s="224"/>
    </row>
    <row r="66" spans="1:15" ht="20.399999999999999" x14ac:dyDescent="0.3">
      <c r="A66" s="62"/>
      <c r="B66" s="63" t="s">
        <v>58</v>
      </c>
      <c r="C66" s="64"/>
      <c r="D66" s="65"/>
      <c r="E66" s="65"/>
      <c r="F66" s="66">
        <f>F57</f>
        <v>405</v>
      </c>
      <c r="G66" s="67"/>
      <c r="H66" s="66">
        <f t="shared" si="27"/>
        <v>405</v>
      </c>
      <c r="I66" s="68" t="s">
        <v>20</v>
      </c>
      <c r="J66" s="68"/>
      <c r="K66" s="66">
        <f t="shared" si="28"/>
        <v>405</v>
      </c>
      <c r="L66" s="25">
        <v>35</v>
      </c>
      <c r="M66" s="3">
        <f>K66*L66</f>
        <v>14175</v>
      </c>
      <c r="N66" s="224"/>
    </row>
    <row r="67" spans="1:15" ht="16.5" customHeight="1" x14ac:dyDescent="0.3">
      <c r="A67" s="62"/>
      <c r="B67" s="63" t="s">
        <v>59</v>
      </c>
      <c r="C67" s="64"/>
      <c r="D67" s="65"/>
      <c r="E67" s="65"/>
      <c r="F67" s="66">
        <f>F57</f>
        <v>405</v>
      </c>
      <c r="G67" s="67"/>
      <c r="H67" s="66">
        <f t="shared" si="27"/>
        <v>405</v>
      </c>
      <c r="I67" s="68" t="s">
        <v>20</v>
      </c>
      <c r="J67" s="68"/>
      <c r="K67" s="66">
        <f t="shared" si="28"/>
        <v>405</v>
      </c>
      <c r="L67" s="25">
        <v>18</v>
      </c>
      <c r="M67" s="3">
        <f>K67*L67</f>
        <v>7290</v>
      </c>
      <c r="N67" s="224"/>
      <c r="O67" s="292"/>
    </row>
    <row r="68" spans="1:15" ht="16.5" customHeight="1" x14ac:dyDescent="0.3">
      <c r="A68" s="62"/>
      <c r="B68" s="63"/>
      <c r="C68" s="64"/>
      <c r="D68" s="65"/>
      <c r="E68" s="65"/>
      <c r="F68" s="66"/>
      <c r="G68" s="67"/>
      <c r="H68" s="66"/>
      <c r="I68" s="68"/>
      <c r="J68" s="68"/>
      <c r="K68" s="66"/>
      <c r="L68" s="25"/>
      <c r="M68" s="3"/>
      <c r="N68" s="224"/>
    </row>
    <row r="69" spans="1:15" ht="16.5" customHeight="1" x14ac:dyDescent="0.3">
      <c r="A69" s="62"/>
      <c r="B69" s="63" t="s">
        <v>60</v>
      </c>
      <c r="C69" s="64"/>
      <c r="D69" s="65">
        <v>106.3</v>
      </c>
      <c r="E69" s="65"/>
      <c r="F69" s="66"/>
      <c r="G69" s="67"/>
      <c r="H69" s="66">
        <f>PRODUCT(C69:G69)</f>
        <v>106.3</v>
      </c>
      <c r="I69" s="68" t="s">
        <v>19</v>
      </c>
      <c r="J69" s="68"/>
      <c r="K69" s="66">
        <f>H69</f>
        <v>106.3</v>
      </c>
      <c r="L69" s="25">
        <v>32</v>
      </c>
      <c r="M69" s="3">
        <f>K69*L69</f>
        <v>3401.6</v>
      </c>
      <c r="N69" s="224"/>
    </row>
    <row r="70" spans="1:15" ht="16.5" customHeight="1" x14ac:dyDescent="0.3">
      <c r="A70" s="62"/>
      <c r="B70" s="63" t="s">
        <v>61</v>
      </c>
      <c r="C70" s="64"/>
      <c r="D70" s="65">
        <v>294.2</v>
      </c>
      <c r="E70" s="65"/>
      <c r="F70" s="66"/>
      <c r="G70" s="67"/>
      <c r="H70" s="66">
        <f>PRODUCT(C70:G70)</f>
        <v>294.2</v>
      </c>
      <c r="I70" s="68" t="s">
        <v>19</v>
      </c>
      <c r="J70" s="68"/>
      <c r="K70" s="66">
        <f>H70</f>
        <v>294.2</v>
      </c>
      <c r="L70" s="25">
        <v>34</v>
      </c>
      <c r="M70" s="3">
        <f>K70*L70</f>
        <v>10002.799999999999</v>
      </c>
      <c r="N70" s="224"/>
    </row>
    <row r="71" spans="1:15" ht="16.5" customHeight="1" x14ac:dyDescent="0.3">
      <c r="A71" s="62"/>
      <c r="B71" s="63" t="s">
        <v>62</v>
      </c>
      <c r="C71" s="64"/>
      <c r="D71" s="65">
        <v>367.3</v>
      </c>
      <c r="E71" s="65"/>
      <c r="F71" s="66"/>
      <c r="G71" s="67"/>
      <c r="H71" s="66">
        <f>PRODUCT(C71:G71)</f>
        <v>367.3</v>
      </c>
      <c r="I71" s="68" t="s">
        <v>19</v>
      </c>
      <c r="J71" s="68"/>
      <c r="K71" s="66">
        <f>H71</f>
        <v>367.3</v>
      </c>
      <c r="L71" s="25">
        <v>56</v>
      </c>
      <c r="M71" s="3">
        <f>K71*L71</f>
        <v>20568.8</v>
      </c>
      <c r="N71" s="224"/>
    </row>
    <row r="72" spans="1:15" ht="16.5" customHeight="1" x14ac:dyDescent="0.3">
      <c r="A72" s="62"/>
      <c r="B72" s="63"/>
      <c r="C72" s="64"/>
      <c r="D72" s="65"/>
      <c r="E72" s="65"/>
      <c r="F72" s="66"/>
      <c r="G72" s="67"/>
      <c r="H72" s="66"/>
      <c r="I72" s="68"/>
      <c r="J72" s="68"/>
      <c r="K72" s="66"/>
      <c r="L72" s="25"/>
      <c r="M72" s="3"/>
      <c r="N72" s="224"/>
    </row>
    <row r="73" spans="1:15" ht="16.5" customHeight="1" x14ac:dyDescent="0.3">
      <c r="A73" s="62"/>
      <c r="B73" s="63" t="s">
        <v>63</v>
      </c>
      <c r="C73" s="64">
        <v>1</v>
      </c>
      <c r="D73" s="65"/>
      <c r="E73" s="65"/>
      <c r="F73" s="66"/>
      <c r="G73" s="67"/>
      <c r="H73" s="66">
        <f>PRODUCT(C73:G73)</f>
        <v>1</v>
      </c>
      <c r="I73" s="68" t="s">
        <v>30</v>
      </c>
      <c r="J73" s="68"/>
      <c r="K73" s="66">
        <f>H73</f>
        <v>1</v>
      </c>
      <c r="L73" s="25">
        <v>8000</v>
      </c>
      <c r="M73" s="3">
        <f>K73*L73</f>
        <v>8000</v>
      </c>
      <c r="N73" s="224"/>
    </row>
    <row r="74" spans="1:15" ht="16.5" customHeight="1" x14ac:dyDescent="0.3">
      <c r="A74" s="62"/>
      <c r="B74" s="63" t="s">
        <v>64</v>
      </c>
      <c r="C74" s="64">
        <v>25</v>
      </c>
      <c r="D74" s="65"/>
      <c r="E74" s="65"/>
      <c r="F74" s="66"/>
      <c r="G74" s="67"/>
      <c r="H74" s="66">
        <f>PRODUCT(C74:G74)</f>
        <v>25</v>
      </c>
      <c r="I74" s="68" t="s">
        <v>187</v>
      </c>
      <c r="J74" s="68"/>
      <c r="K74" s="66">
        <v>1</v>
      </c>
      <c r="L74" s="25">
        <f>25*180</f>
        <v>4500</v>
      </c>
      <c r="M74" s="3">
        <f>K74*L74</f>
        <v>4500</v>
      </c>
      <c r="N74" s="224"/>
    </row>
    <row r="75" spans="1:15" ht="16.5" customHeight="1" x14ac:dyDescent="0.3">
      <c r="A75" s="62"/>
      <c r="B75" s="63"/>
      <c r="C75" s="64"/>
      <c r="D75" s="65"/>
      <c r="E75" s="65"/>
      <c r="F75" s="66"/>
      <c r="G75" s="67"/>
      <c r="H75" s="66"/>
      <c r="I75" s="68"/>
      <c r="J75" s="68"/>
      <c r="K75" s="66"/>
      <c r="L75" s="25"/>
      <c r="M75" s="3"/>
      <c r="N75" s="224"/>
    </row>
    <row r="76" spans="1:15" ht="16.5" customHeight="1" x14ac:dyDescent="0.3">
      <c r="A76" s="62"/>
      <c r="B76" s="71" t="s">
        <v>163</v>
      </c>
      <c r="C76" s="64"/>
      <c r="D76" s="65"/>
      <c r="E76" s="65"/>
      <c r="F76" s="66"/>
      <c r="G76" s="67"/>
      <c r="H76" s="66"/>
      <c r="I76" s="68"/>
      <c r="J76" s="68"/>
      <c r="K76" s="66"/>
      <c r="L76" s="25"/>
      <c r="M76" s="3"/>
      <c r="N76" s="224"/>
    </row>
    <row r="77" spans="1:15" ht="20.399999999999999" x14ac:dyDescent="0.3">
      <c r="A77" s="62"/>
      <c r="B77" s="63" t="s">
        <v>188</v>
      </c>
      <c r="C77" s="64"/>
      <c r="D77" s="65"/>
      <c r="E77" s="65"/>
      <c r="F77" s="66">
        <v>342</v>
      </c>
      <c r="G77" s="67"/>
      <c r="H77" s="66">
        <f>PRODUCT(C77:G77)</f>
        <v>342</v>
      </c>
      <c r="I77" s="68" t="s">
        <v>20</v>
      </c>
      <c r="J77" s="68"/>
      <c r="K77" s="66">
        <f>H77</f>
        <v>342</v>
      </c>
      <c r="L77" s="25">
        <v>43</v>
      </c>
      <c r="M77" s="3">
        <f>K77*L77</f>
        <v>14706</v>
      </c>
      <c r="N77" s="224"/>
    </row>
    <row r="78" spans="1:15" ht="16.5" customHeight="1" thickBot="1" x14ac:dyDescent="0.35">
      <c r="A78" s="62"/>
      <c r="B78" s="63"/>
      <c r="C78" s="64"/>
      <c r="D78" s="65"/>
      <c r="E78" s="65"/>
      <c r="F78" s="66"/>
      <c r="G78" s="67"/>
      <c r="H78" s="66"/>
      <c r="I78" s="68"/>
      <c r="J78" s="68"/>
      <c r="K78" s="66"/>
      <c r="L78" s="39"/>
      <c r="M78" s="3"/>
      <c r="N78" s="224"/>
    </row>
    <row r="79" spans="1:15" ht="16.5" customHeight="1" thickBot="1" x14ac:dyDescent="0.35">
      <c r="A79" s="72" t="s">
        <v>66</v>
      </c>
      <c r="B79" s="73" t="s">
        <v>65</v>
      </c>
      <c r="C79" s="74"/>
      <c r="D79" s="75"/>
      <c r="E79" s="75"/>
      <c r="F79" s="75"/>
      <c r="G79" s="75"/>
      <c r="H79" s="75"/>
      <c r="I79" s="76"/>
      <c r="J79" s="76"/>
      <c r="K79" s="75"/>
      <c r="L79" s="40"/>
      <c r="M79" s="277">
        <f>SUM(M32:M78)</f>
        <v>374693.72999999992</v>
      </c>
      <c r="N79" s="269"/>
    </row>
    <row r="80" spans="1:15" ht="16.5" customHeight="1" thickBot="1" x14ac:dyDescent="0.35">
      <c r="A80" s="77"/>
      <c r="B80" s="78"/>
      <c r="C80" s="79"/>
      <c r="D80" s="80"/>
      <c r="E80" s="80"/>
      <c r="F80" s="80"/>
      <c r="G80" s="80"/>
      <c r="H80" s="80"/>
      <c r="I80" s="81"/>
      <c r="J80" s="81"/>
      <c r="K80" s="80"/>
      <c r="L80" s="41"/>
      <c r="M80" s="9"/>
      <c r="N80" s="269"/>
    </row>
    <row r="81" spans="1:15" ht="16.5" customHeight="1" thickBot="1" x14ac:dyDescent="0.35">
      <c r="A81" s="82" t="s">
        <v>177</v>
      </c>
      <c r="B81" s="181" t="s">
        <v>67</v>
      </c>
      <c r="C81" s="112"/>
      <c r="D81" s="113"/>
      <c r="E81" s="113"/>
      <c r="F81" s="113"/>
      <c r="G81" s="113"/>
      <c r="H81" s="113"/>
      <c r="I81" s="113"/>
      <c r="J81" s="113"/>
      <c r="K81" s="114"/>
      <c r="L81" s="47"/>
      <c r="M81" s="21"/>
      <c r="N81" s="224"/>
    </row>
    <row r="82" spans="1:15" ht="16.5" customHeight="1" x14ac:dyDescent="0.3">
      <c r="A82" s="83"/>
      <c r="B82" s="84"/>
      <c r="C82" s="85"/>
      <c r="D82" s="86"/>
      <c r="E82" s="86"/>
      <c r="F82" s="86"/>
      <c r="G82" s="86"/>
      <c r="H82" s="86"/>
      <c r="I82" s="86"/>
      <c r="J82" s="86"/>
      <c r="K82" s="87"/>
      <c r="L82" s="42"/>
      <c r="M82" s="10"/>
      <c r="N82" s="224"/>
    </row>
    <row r="83" spans="1:15" s="4" customFormat="1" ht="16.5" customHeight="1" x14ac:dyDescent="0.3">
      <c r="A83" s="149"/>
      <c r="B83" s="88" t="s">
        <v>68</v>
      </c>
      <c r="C83" s="59"/>
      <c r="D83" s="60"/>
      <c r="E83" s="60"/>
      <c r="F83" s="60"/>
      <c r="G83" s="60"/>
      <c r="H83" s="60"/>
      <c r="I83" s="61"/>
      <c r="J83" s="61"/>
      <c r="K83" s="60"/>
      <c r="L83" s="39"/>
      <c r="M83" s="5"/>
      <c r="N83" s="224"/>
      <c r="O83" s="293"/>
    </row>
    <row r="84" spans="1:15" s="4" customFormat="1" ht="16.5" customHeight="1" x14ac:dyDescent="0.3">
      <c r="A84" s="62"/>
      <c r="B84" s="89" t="s">
        <v>69</v>
      </c>
      <c r="C84" s="64"/>
      <c r="D84" s="65">
        <f>3+1+9.5+3+1+14.5+3+1+21.5+3+1+26.5+3+1+21+3+1+24+3+1+5+6</f>
        <v>156</v>
      </c>
      <c r="E84" s="65"/>
      <c r="F84" s="66"/>
      <c r="G84" s="66"/>
      <c r="H84" s="66">
        <f>PRODUCT(C84:G84)</f>
        <v>156</v>
      </c>
      <c r="I84" s="68" t="s">
        <v>19</v>
      </c>
      <c r="J84" s="68"/>
      <c r="K84" s="66">
        <f>H84</f>
        <v>156</v>
      </c>
      <c r="L84" s="25">
        <v>48.55</v>
      </c>
      <c r="M84" s="3">
        <f t="shared" ref="M84:M89" si="29">K84*L84</f>
        <v>7573.7999999999993</v>
      </c>
      <c r="N84" s="224"/>
      <c r="O84" s="293"/>
    </row>
    <row r="85" spans="1:15" s="4" customFormat="1" ht="16.5" customHeight="1" x14ac:dyDescent="0.3">
      <c r="A85" s="62"/>
      <c r="B85" s="89" t="s">
        <v>70</v>
      </c>
      <c r="C85" s="64">
        <v>8</v>
      </c>
      <c r="D85" s="65"/>
      <c r="E85" s="65"/>
      <c r="F85" s="66"/>
      <c r="G85" s="66"/>
      <c r="H85" s="66">
        <f t="shared" ref="H85:H88" si="30">PRODUCT(C85:G85)</f>
        <v>8</v>
      </c>
      <c r="I85" s="68" t="s">
        <v>18</v>
      </c>
      <c r="J85" s="68"/>
      <c r="K85" s="66">
        <f t="shared" ref="K85:K89" si="31">H85</f>
        <v>8</v>
      </c>
      <c r="L85" s="25">
        <v>399.3</v>
      </c>
      <c r="M85" s="3">
        <f t="shared" si="29"/>
        <v>3194.4</v>
      </c>
      <c r="N85" s="224"/>
      <c r="O85" s="293"/>
    </row>
    <row r="86" spans="1:15" s="4" customFormat="1" ht="16.5" customHeight="1" x14ac:dyDescent="0.3">
      <c r="A86" s="62"/>
      <c r="B86" s="89" t="s">
        <v>71</v>
      </c>
      <c r="C86" s="64">
        <v>7</v>
      </c>
      <c r="D86" s="65"/>
      <c r="E86" s="65"/>
      <c r="F86" s="66"/>
      <c r="G86" s="66"/>
      <c r="H86" s="66">
        <f t="shared" si="30"/>
        <v>7</v>
      </c>
      <c r="I86" s="68" t="s">
        <v>18</v>
      </c>
      <c r="J86" s="68"/>
      <c r="K86" s="66">
        <f t="shared" si="31"/>
        <v>7</v>
      </c>
      <c r="L86" s="25">
        <v>650</v>
      </c>
      <c r="M86" s="3">
        <f t="shared" si="29"/>
        <v>4550</v>
      </c>
      <c r="N86" s="224"/>
      <c r="O86" s="293"/>
    </row>
    <row r="87" spans="1:15" s="4" customFormat="1" ht="16.5" customHeight="1" x14ac:dyDescent="0.3">
      <c r="A87" s="62"/>
      <c r="B87" s="89" t="s">
        <v>72</v>
      </c>
      <c r="C87" s="64">
        <v>1</v>
      </c>
      <c r="D87" s="65"/>
      <c r="E87" s="65"/>
      <c r="F87" s="66"/>
      <c r="G87" s="66"/>
      <c r="H87" s="66">
        <f t="shared" si="30"/>
        <v>1</v>
      </c>
      <c r="I87" s="68" t="s">
        <v>18</v>
      </c>
      <c r="J87" s="68"/>
      <c r="K87" s="66">
        <f t="shared" si="31"/>
        <v>1</v>
      </c>
      <c r="L87" s="25">
        <v>691.9</v>
      </c>
      <c r="M87" s="3">
        <f t="shared" ref="M87" si="32">K87*L87</f>
        <v>691.9</v>
      </c>
      <c r="N87" s="224"/>
      <c r="O87" s="293"/>
    </row>
    <row r="88" spans="1:15" s="4" customFormat="1" ht="16.5" customHeight="1" x14ac:dyDescent="0.3">
      <c r="A88" s="62"/>
      <c r="B88" s="89" t="s">
        <v>191</v>
      </c>
      <c r="C88" s="64">
        <v>7</v>
      </c>
      <c r="D88" s="65"/>
      <c r="E88" s="65"/>
      <c r="F88" s="66"/>
      <c r="G88" s="66"/>
      <c r="H88" s="66">
        <f t="shared" si="30"/>
        <v>7</v>
      </c>
      <c r="I88" s="68" t="s">
        <v>18</v>
      </c>
      <c r="J88" s="68"/>
      <c r="K88" s="66">
        <f t="shared" ref="K88" si="33">H88</f>
        <v>7</v>
      </c>
      <c r="L88" s="25">
        <v>3680</v>
      </c>
      <c r="M88" s="3">
        <f t="shared" ref="M88" si="34">K88*L88</f>
        <v>25760</v>
      </c>
      <c r="N88" s="224"/>
      <c r="O88" s="293"/>
    </row>
    <row r="89" spans="1:15" s="4" customFormat="1" ht="16.5" customHeight="1" x14ac:dyDescent="0.3">
      <c r="A89" s="62"/>
      <c r="B89" s="89" t="s">
        <v>189</v>
      </c>
      <c r="C89" s="64">
        <v>1</v>
      </c>
      <c r="D89" s="65"/>
      <c r="E89" s="65"/>
      <c r="F89" s="66"/>
      <c r="G89" s="66"/>
      <c r="H89" s="66">
        <f>PRODUCT(C89:G89)</f>
        <v>1</v>
      </c>
      <c r="I89" s="68" t="s">
        <v>18</v>
      </c>
      <c r="J89" s="68"/>
      <c r="K89" s="66">
        <f t="shared" si="31"/>
        <v>1</v>
      </c>
      <c r="L89" s="25">
        <v>1500</v>
      </c>
      <c r="M89" s="3">
        <f t="shared" si="29"/>
        <v>1500</v>
      </c>
      <c r="N89" s="224"/>
      <c r="O89" s="293"/>
    </row>
    <row r="90" spans="1:15" s="4" customFormat="1" ht="16.5" customHeight="1" x14ac:dyDescent="0.3">
      <c r="A90" s="62"/>
      <c r="B90" s="187" t="s">
        <v>73</v>
      </c>
      <c r="C90" s="64"/>
      <c r="D90" s="65"/>
      <c r="E90" s="65"/>
      <c r="F90" s="66"/>
      <c r="G90" s="66"/>
      <c r="H90" s="66"/>
      <c r="I90" s="68"/>
      <c r="J90" s="68"/>
      <c r="K90" s="66"/>
      <c r="L90" s="25"/>
      <c r="M90" s="188"/>
      <c r="N90" s="224"/>
      <c r="O90" s="293"/>
    </row>
    <row r="91" spans="1:15" s="4" customFormat="1" ht="16.5" customHeight="1" x14ac:dyDescent="0.3">
      <c r="A91" s="62"/>
      <c r="B91" s="89"/>
      <c r="C91" s="64"/>
      <c r="D91" s="65"/>
      <c r="E91" s="65"/>
      <c r="F91" s="66"/>
      <c r="G91" s="66"/>
      <c r="H91" s="66"/>
      <c r="I91" s="68"/>
      <c r="J91" s="68"/>
      <c r="K91" s="66"/>
      <c r="L91" s="25"/>
      <c r="M91" s="3"/>
      <c r="N91" s="224"/>
      <c r="O91" s="293"/>
    </row>
    <row r="92" spans="1:15" s="2" customFormat="1" ht="16.5" customHeight="1" x14ac:dyDescent="0.3">
      <c r="A92" s="62"/>
      <c r="B92" s="90" t="s">
        <v>74</v>
      </c>
      <c r="C92" s="64"/>
      <c r="D92" s="65"/>
      <c r="E92" s="65"/>
      <c r="F92" s="65"/>
      <c r="G92" s="65"/>
      <c r="H92" s="65"/>
      <c r="I92" s="68"/>
      <c r="J92" s="68"/>
      <c r="K92" s="65"/>
      <c r="L92" s="25"/>
      <c r="M92" s="3"/>
      <c r="N92" s="268"/>
      <c r="O92" s="294"/>
    </row>
    <row r="93" spans="1:15" s="2" customFormat="1" ht="16.5" customHeight="1" x14ac:dyDescent="0.3">
      <c r="A93" s="62"/>
      <c r="B93" s="89" t="s">
        <v>75</v>
      </c>
      <c r="C93" s="64"/>
      <c r="D93" s="65">
        <f>19+3+32+9+8+8+10</f>
        <v>89</v>
      </c>
      <c r="E93" s="65"/>
      <c r="F93" s="66"/>
      <c r="G93" s="66"/>
      <c r="H93" s="66">
        <f t="shared" ref="H93" si="35">PRODUCT(C93:G93)</f>
        <v>89</v>
      </c>
      <c r="I93" s="68" t="s">
        <v>19</v>
      </c>
      <c r="J93" s="68"/>
      <c r="K93" s="66">
        <f t="shared" ref="K93" si="36">H93</f>
        <v>89</v>
      </c>
      <c r="L93" s="25">
        <v>141.1</v>
      </c>
      <c r="M93" s="3">
        <f t="shared" ref="M93" si="37">K93*L93</f>
        <v>12557.9</v>
      </c>
      <c r="N93" s="268"/>
      <c r="O93" s="294"/>
    </row>
    <row r="94" spans="1:15" s="4" customFormat="1" ht="16.5" customHeight="1" x14ac:dyDescent="0.3">
      <c r="A94" s="62"/>
      <c r="B94" s="89" t="s">
        <v>190</v>
      </c>
      <c r="C94" s="64">
        <v>5</v>
      </c>
      <c r="D94" s="65"/>
      <c r="E94" s="65"/>
      <c r="F94" s="66"/>
      <c r="G94" s="66"/>
      <c r="H94" s="66">
        <f t="shared" ref="H94:H96" si="38">PRODUCT(C94:G94)</f>
        <v>5</v>
      </c>
      <c r="I94" s="68" t="s">
        <v>18</v>
      </c>
      <c r="J94" s="68"/>
      <c r="K94" s="66">
        <f t="shared" ref="K94:K96" si="39">H94</f>
        <v>5</v>
      </c>
      <c r="L94" s="25">
        <f>629.5*1.2</f>
        <v>755.4</v>
      </c>
      <c r="M94" s="3">
        <f t="shared" ref="M94:M96" si="40">K94*L94</f>
        <v>3777</v>
      </c>
      <c r="N94" s="224"/>
      <c r="O94" s="293"/>
    </row>
    <row r="95" spans="1:15" s="4" customFormat="1" ht="16.5" customHeight="1" x14ac:dyDescent="0.3">
      <c r="A95" s="62"/>
      <c r="B95" s="89" t="s">
        <v>158</v>
      </c>
      <c r="C95" s="64">
        <v>1</v>
      </c>
      <c r="D95" s="65"/>
      <c r="E95" s="65"/>
      <c r="F95" s="66"/>
      <c r="G95" s="66"/>
      <c r="H95" s="66">
        <f t="shared" ref="H95" si="41">PRODUCT(C95:G95)</f>
        <v>1</v>
      </c>
      <c r="I95" s="68" t="s">
        <v>18</v>
      </c>
      <c r="J95" s="68"/>
      <c r="K95" s="66">
        <f t="shared" ref="K95" si="42">H95</f>
        <v>1</v>
      </c>
      <c r="L95" s="25">
        <v>692.45</v>
      </c>
      <c r="M95" s="3">
        <f t="shared" ref="M95" si="43">K95*L95</f>
        <v>692.45</v>
      </c>
      <c r="N95" s="224"/>
      <c r="O95" s="293"/>
    </row>
    <row r="96" spans="1:15" s="4" customFormat="1" ht="16.5" customHeight="1" x14ac:dyDescent="0.3">
      <c r="A96" s="62"/>
      <c r="B96" s="89" t="s">
        <v>76</v>
      </c>
      <c r="C96" s="64">
        <v>1</v>
      </c>
      <c r="D96" s="65"/>
      <c r="E96" s="65"/>
      <c r="F96" s="66"/>
      <c r="G96" s="66"/>
      <c r="H96" s="66">
        <f t="shared" si="38"/>
        <v>1</v>
      </c>
      <c r="I96" s="68" t="s">
        <v>18</v>
      </c>
      <c r="J96" s="68"/>
      <c r="K96" s="66">
        <f t="shared" si="39"/>
        <v>1</v>
      </c>
      <c r="L96" s="25">
        <v>1500</v>
      </c>
      <c r="M96" s="3">
        <f t="shared" si="40"/>
        <v>1500</v>
      </c>
      <c r="N96" s="224"/>
      <c r="O96" s="293"/>
    </row>
    <row r="97" spans="1:15" s="4" customFormat="1" ht="16.5" customHeight="1" x14ac:dyDescent="0.3">
      <c r="A97" s="62"/>
      <c r="B97" s="187" t="s">
        <v>77</v>
      </c>
      <c r="C97" s="64"/>
      <c r="D97" s="65"/>
      <c r="E97" s="65"/>
      <c r="F97" s="66"/>
      <c r="G97" s="66"/>
      <c r="H97" s="66"/>
      <c r="I97" s="68"/>
      <c r="J97" s="68"/>
      <c r="K97" s="66"/>
      <c r="L97" s="25"/>
      <c r="M97" s="188"/>
      <c r="N97" s="224"/>
      <c r="O97" s="293"/>
    </row>
    <row r="98" spans="1:15" s="4" customFormat="1" ht="16.5" customHeight="1" x14ac:dyDescent="0.3">
      <c r="A98" s="62"/>
      <c r="B98" s="89"/>
      <c r="C98" s="64"/>
      <c r="D98" s="65"/>
      <c r="E98" s="65"/>
      <c r="F98" s="66"/>
      <c r="G98" s="66"/>
      <c r="H98" s="66"/>
      <c r="I98" s="68"/>
      <c r="J98" s="68"/>
      <c r="K98" s="66"/>
      <c r="L98" s="25"/>
      <c r="M98" s="3"/>
      <c r="N98" s="224"/>
      <c r="O98" s="293"/>
    </row>
    <row r="99" spans="1:15" s="2" customFormat="1" ht="16.5" customHeight="1" x14ac:dyDescent="0.3">
      <c r="A99" s="156"/>
      <c r="B99" s="90" t="s">
        <v>78</v>
      </c>
      <c r="C99" s="64"/>
      <c r="D99" s="65"/>
      <c r="E99" s="65"/>
      <c r="F99" s="65"/>
      <c r="G99" s="65"/>
      <c r="H99" s="65"/>
      <c r="I99" s="68"/>
      <c r="J99" s="68"/>
      <c r="K99" s="65"/>
      <c r="L99" s="25"/>
      <c r="M99" s="3"/>
      <c r="N99" s="268"/>
      <c r="O99" s="294"/>
    </row>
    <row r="100" spans="1:15" s="2" customFormat="1" ht="16.5" customHeight="1" x14ac:dyDescent="0.3">
      <c r="A100" s="156"/>
      <c r="B100" s="89" t="s">
        <v>79</v>
      </c>
      <c r="C100" s="64"/>
      <c r="D100" s="64">
        <v>14</v>
      </c>
      <c r="E100" s="65"/>
      <c r="F100" s="66"/>
      <c r="G100" s="66"/>
      <c r="H100" s="66">
        <f>PRODUCT(C100:G100)</f>
        <v>14</v>
      </c>
      <c r="I100" s="68" t="s">
        <v>19</v>
      </c>
      <c r="J100" s="68"/>
      <c r="K100" s="66">
        <f t="shared" ref="K100" si="44">H100</f>
        <v>14</v>
      </c>
      <c r="L100" s="25">
        <f>61.8*1.1</f>
        <v>67.98</v>
      </c>
      <c r="M100" s="3">
        <f t="shared" ref="M100" si="45">K100*L100</f>
        <v>951.72</v>
      </c>
      <c r="N100" s="268"/>
      <c r="O100" s="294"/>
    </row>
    <row r="101" spans="1:15" s="2" customFormat="1" ht="16.5" customHeight="1" x14ac:dyDescent="0.3">
      <c r="A101" s="156"/>
      <c r="B101" s="89" t="s">
        <v>80</v>
      </c>
      <c r="C101" s="64"/>
      <c r="D101" s="64">
        <f>13.5+16.5+16+11.5</f>
        <v>57.5</v>
      </c>
      <c r="E101" s="65"/>
      <c r="F101" s="66"/>
      <c r="G101" s="66"/>
      <c r="H101" s="66">
        <f t="shared" ref="H101" si="46">PRODUCT(C101:G101)</f>
        <v>57.5</v>
      </c>
      <c r="I101" s="68" t="s">
        <v>19</v>
      </c>
      <c r="J101" s="68"/>
      <c r="K101" s="66">
        <f t="shared" ref="K101" si="47">H101</f>
        <v>57.5</v>
      </c>
      <c r="L101" s="25">
        <f>85.27*1.1</f>
        <v>93.796999999999997</v>
      </c>
      <c r="M101" s="3">
        <f t="shared" ref="M101" si="48">K101*L101</f>
        <v>5393.3274999999994</v>
      </c>
      <c r="N101" s="268"/>
      <c r="O101" s="294"/>
    </row>
    <row r="102" spans="1:15" s="2" customFormat="1" ht="16.5" customHeight="1" x14ac:dyDescent="0.3">
      <c r="A102" s="156"/>
      <c r="B102" s="89" t="s">
        <v>81</v>
      </c>
      <c r="C102" s="64"/>
      <c r="D102" s="64">
        <f>12.5+11+25+25+25+22.5+25+21+13.5+16.5</f>
        <v>197</v>
      </c>
      <c r="E102" s="65"/>
      <c r="F102" s="66"/>
      <c r="G102" s="66"/>
      <c r="H102" s="66">
        <f>PRODUCT(C102:G102)</f>
        <v>197</v>
      </c>
      <c r="I102" s="68" t="s">
        <v>19</v>
      </c>
      <c r="J102" s="68"/>
      <c r="K102" s="66">
        <f t="shared" ref="K102" si="49">H102</f>
        <v>197</v>
      </c>
      <c r="L102" s="25">
        <f>128.27*1.1</f>
        <v>141.09700000000004</v>
      </c>
      <c r="M102" s="3">
        <f t="shared" ref="M102" si="50">K102*L102</f>
        <v>27796.109000000008</v>
      </c>
      <c r="N102" s="268"/>
      <c r="O102" s="294"/>
    </row>
    <row r="103" spans="1:15" s="2" customFormat="1" ht="16.5" customHeight="1" x14ac:dyDescent="0.3">
      <c r="A103" s="156"/>
      <c r="B103" s="89" t="s">
        <v>155</v>
      </c>
      <c r="C103" s="64"/>
      <c r="D103" s="64">
        <f>25+8</f>
        <v>33</v>
      </c>
      <c r="E103" s="65"/>
      <c r="F103" s="66"/>
      <c r="G103" s="66"/>
      <c r="H103" s="66">
        <f t="shared" ref="H103" si="51">PRODUCT(C103:G103)</f>
        <v>33</v>
      </c>
      <c r="I103" s="68" t="s">
        <v>19</v>
      </c>
      <c r="J103" s="68"/>
      <c r="K103" s="66">
        <f t="shared" ref="K103" si="52">H103</f>
        <v>33</v>
      </c>
      <c r="L103" s="25">
        <f>164.61*1.1</f>
        <v>181.07100000000003</v>
      </c>
      <c r="M103" s="3">
        <f t="shared" ref="M103" si="53">K103*L103</f>
        <v>5975.3430000000008</v>
      </c>
      <c r="N103" s="268"/>
      <c r="O103" s="294"/>
    </row>
    <row r="104" spans="1:15" s="2" customFormat="1" ht="16.5" customHeight="1" x14ac:dyDescent="0.3">
      <c r="A104" s="156"/>
      <c r="B104" s="89" t="s">
        <v>156</v>
      </c>
      <c r="C104" s="64"/>
      <c r="D104" s="64">
        <f>14</f>
        <v>14</v>
      </c>
      <c r="E104" s="65"/>
      <c r="F104" s="66"/>
      <c r="G104" s="66"/>
      <c r="H104" s="66">
        <f t="shared" ref="H104" si="54">PRODUCT(C104:G104)</f>
        <v>14</v>
      </c>
      <c r="I104" s="68" t="s">
        <v>19</v>
      </c>
      <c r="J104" s="68"/>
      <c r="K104" s="66">
        <f t="shared" ref="K104" si="55">H104</f>
        <v>14</v>
      </c>
      <c r="L104" s="25">
        <v>357</v>
      </c>
      <c r="M104" s="3">
        <f t="shared" ref="M104" si="56">K104*L104</f>
        <v>4998</v>
      </c>
      <c r="N104" s="268"/>
      <c r="O104" s="294"/>
    </row>
    <row r="105" spans="1:15" s="2" customFormat="1" ht="16.5" customHeight="1" x14ac:dyDescent="0.3">
      <c r="A105" s="156"/>
      <c r="B105" s="89" t="s">
        <v>157</v>
      </c>
      <c r="C105" s="64">
        <v>12</v>
      </c>
      <c r="D105" s="65"/>
      <c r="E105" s="65"/>
      <c r="F105" s="66"/>
      <c r="G105" s="66"/>
      <c r="H105" s="66">
        <f t="shared" ref="H105" si="57">PRODUCT(C105:G105)</f>
        <v>12</v>
      </c>
      <c r="I105" s="68" t="s">
        <v>18</v>
      </c>
      <c r="J105" s="68"/>
      <c r="K105" s="66">
        <f t="shared" ref="K105" si="58">H105</f>
        <v>12</v>
      </c>
      <c r="L105" s="25">
        <f>629.5*1.1</f>
        <v>692.45</v>
      </c>
      <c r="M105" s="3">
        <f t="shared" ref="M105" si="59">K105*L105</f>
        <v>8309.4000000000015</v>
      </c>
      <c r="N105" s="268"/>
      <c r="O105" s="294"/>
    </row>
    <row r="106" spans="1:15" s="2" customFormat="1" ht="16.5" customHeight="1" x14ac:dyDescent="0.3">
      <c r="A106" s="156"/>
      <c r="B106" s="89" t="s">
        <v>82</v>
      </c>
      <c r="C106" s="64">
        <v>8</v>
      </c>
      <c r="D106" s="65"/>
      <c r="E106" s="65"/>
      <c r="F106" s="66"/>
      <c r="G106" s="66"/>
      <c r="H106" s="66">
        <f t="shared" ref="H106" si="60">PRODUCT(C106:G106)</f>
        <v>8</v>
      </c>
      <c r="I106" s="68" t="s">
        <v>18</v>
      </c>
      <c r="J106" s="68"/>
      <c r="K106" s="66">
        <f t="shared" ref="K106" si="61">H106</f>
        <v>8</v>
      </c>
      <c r="L106" s="25">
        <v>330</v>
      </c>
      <c r="M106" s="3">
        <f t="shared" ref="M106" si="62">K106*L106</f>
        <v>2640</v>
      </c>
      <c r="N106" s="268"/>
      <c r="O106" s="294"/>
    </row>
    <row r="107" spans="1:15" s="2" customFormat="1" ht="16.5" customHeight="1" x14ac:dyDescent="0.3">
      <c r="A107" s="156"/>
      <c r="B107" s="89" t="s">
        <v>83</v>
      </c>
      <c r="C107" s="234"/>
      <c r="D107" s="65">
        <f>15.3+11.6+10.6+28.4+11.7+11.4+13</f>
        <v>102.00000000000001</v>
      </c>
      <c r="E107" s="65"/>
      <c r="F107" s="66"/>
      <c r="G107" s="66"/>
      <c r="H107" s="66">
        <f t="shared" ref="H107" si="63">PRODUCT(C107:G107)</f>
        <v>102.00000000000001</v>
      </c>
      <c r="I107" s="68" t="s">
        <v>19</v>
      </c>
      <c r="J107" s="68"/>
      <c r="K107" s="66">
        <f t="shared" ref="K107" si="64">H107</f>
        <v>102.00000000000001</v>
      </c>
      <c r="L107" s="25">
        <v>225</v>
      </c>
      <c r="M107" s="3">
        <f t="shared" ref="M107" si="65">K107*L107</f>
        <v>22950.000000000004</v>
      </c>
      <c r="N107" s="268"/>
      <c r="O107" s="295"/>
    </row>
    <row r="108" spans="1:15" s="2" customFormat="1" ht="16.5" customHeight="1" x14ac:dyDescent="0.3">
      <c r="A108" s="156"/>
      <c r="B108" s="187" t="s">
        <v>84</v>
      </c>
      <c r="C108" s="64"/>
      <c r="D108" s="65"/>
      <c r="E108" s="65"/>
      <c r="F108" s="66"/>
      <c r="G108" s="66"/>
      <c r="H108" s="66"/>
      <c r="I108" s="68"/>
      <c r="J108" s="68"/>
      <c r="K108" s="65"/>
      <c r="L108" s="25"/>
      <c r="M108" s="188"/>
      <c r="N108" s="268"/>
      <c r="O108" s="294"/>
    </row>
    <row r="109" spans="1:15" s="2" customFormat="1" ht="16.5" customHeight="1" x14ac:dyDescent="0.3">
      <c r="A109" s="156"/>
      <c r="B109" s="234"/>
      <c r="C109" s="64"/>
      <c r="D109" s="65"/>
      <c r="E109" s="65"/>
      <c r="F109" s="66"/>
      <c r="G109" s="66"/>
      <c r="H109" s="66"/>
      <c r="I109" s="68"/>
      <c r="J109" s="68"/>
      <c r="K109" s="66"/>
      <c r="L109" s="25"/>
      <c r="M109" s="3"/>
      <c r="N109" s="268"/>
      <c r="O109" s="294"/>
    </row>
    <row r="110" spans="1:15" s="2" customFormat="1" ht="14.1" customHeight="1" x14ac:dyDescent="0.3">
      <c r="A110" s="156"/>
      <c r="B110" s="90" t="s">
        <v>85</v>
      </c>
      <c r="C110" s="64"/>
      <c r="D110" s="65"/>
      <c r="E110" s="65"/>
      <c r="F110" s="65"/>
      <c r="G110" s="65"/>
      <c r="H110" s="66"/>
      <c r="I110" s="68"/>
      <c r="J110" s="68"/>
      <c r="K110" s="65"/>
      <c r="L110" s="25"/>
      <c r="M110" s="3"/>
      <c r="N110" s="268"/>
      <c r="O110" s="294"/>
    </row>
    <row r="111" spans="1:15" s="2" customFormat="1" ht="14.1" customHeight="1" x14ac:dyDescent="0.3">
      <c r="A111" s="156"/>
      <c r="B111" s="89" t="s">
        <v>160</v>
      </c>
      <c r="C111" s="64"/>
      <c r="D111" s="65">
        <f>25+22.5+25+25+25+11+12.5+13.5+14</f>
        <v>173.5</v>
      </c>
      <c r="E111" s="65">
        <v>0.8</v>
      </c>
      <c r="F111" s="65"/>
      <c r="G111" s="65">
        <v>1.1000000000000001</v>
      </c>
      <c r="H111" s="66">
        <f>D111*E111*G111</f>
        <v>152.68000000000004</v>
      </c>
      <c r="I111" s="68" t="s">
        <v>22</v>
      </c>
      <c r="J111" s="68"/>
      <c r="K111" s="65"/>
      <c r="L111" s="25"/>
      <c r="M111" s="3"/>
      <c r="N111" s="268"/>
      <c r="O111" s="294"/>
    </row>
    <row r="112" spans="1:15" s="2" customFormat="1" ht="14.1" customHeight="1" x14ac:dyDescent="0.3">
      <c r="A112" s="156"/>
      <c r="B112" s="89" t="s">
        <v>159</v>
      </c>
      <c r="C112" s="64"/>
      <c r="D112" s="65">
        <f>SUM(D100:D104)-D111</f>
        <v>142</v>
      </c>
      <c r="E112" s="65">
        <v>0.8</v>
      </c>
      <c r="F112" s="65"/>
      <c r="G112" s="65">
        <v>1.2</v>
      </c>
      <c r="H112" s="66">
        <f>D112*E112*G112</f>
        <v>136.32</v>
      </c>
      <c r="I112" s="68" t="s">
        <v>22</v>
      </c>
      <c r="J112" s="68"/>
      <c r="K112" s="65"/>
      <c r="L112" s="25"/>
      <c r="M112" s="3"/>
      <c r="N112" s="268"/>
      <c r="O112" s="294"/>
    </row>
    <row r="113" spans="1:19" s="2" customFormat="1" ht="14.1" customHeight="1" x14ac:dyDescent="0.3">
      <c r="A113" s="156"/>
      <c r="B113" s="89" t="s">
        <v>161</v>
      </c>
      <c r="C113" s="64"/>
      <c r="D113" s="65">
        <f>K84</f>
        <v>156</v>
      </c>
      <c r="E113" s="65">
        <v>0.8</v>
      </c>
      <c r="F113" s="65"/>
      <c r="G113" s="65">
        <v>2.25</v>
      </c>
      <c r="H113" s="66">
        <f>D113*E113*G113</f>
        <v>280.8</v>
      </c>
      <c r="I113" s="68" t="s">
        <v>22</v>
      </c>
      <c r="J113" s="68"/>
      <c r="K113" s="65"/>
      <c r="L113" s="25"/>
      <c r="M113" s="3"/>
      <c r="N113" s="224"/>
      <c r="O113" s="294"/>
    </row>
    <row r="114" spans="1:19" s="2" customFormat="1" ht="14.1" customHeight="1" x14ac:dyDescent="0.3">
      <c r="A114" s="156"/>
      <c r="B114" s="89" t="s">
        <v>162</v>
      </c>
      <c r="C114" s="64"/>
      <c r="D114" s="65">
        <f>SUM(D93:D93)</f>
        <v>89</v>
      </c>
      <c r="E114" s="65">
        <v>0.8</v>
      </c>
      <c r="F114" s="65"/>
      <c r="G114" s="65">
        <v>1.3</v>
      </c>
      <c r="H114" s="66">
        <f>D114*E114*G114</f>
        <v>92.56</v>
      </c>
      <c r="I114" s="68" t="s">
        <v>22</v>
      </c>
      <c r="J114" s="68"/>
      <c r="K114" s="65"/>
      <c r="L114" s="25"/>
      <c r="M114" s="3"/>
      <c r="N114" s="224"/>
      <c r="O114" s="294"/>
    </row>
    <row r="115" spans="1:19" s="4" customFormat="1" ht="15" customHeight="1" x14ac:dyDescent="0.3">
      <c r="A115" s="62"/>
      <c r="B115" s="91" t="s">
        <v>86</v>
      </c>
      <c r="C115" s="64"/>
      <c r="D115" s="65"/>
      <c r="E115" s="65"/>
      <c r="F115" s="65"/>
      <c r="G115" s="92" t="s">
        <v>87</v>
      </c>
      <c r="H115" s="92">
        <f>SUM(H111:H114)</f>
        <v>662.3599999999999</v>
      </c>
      <c r="I115" s="68" t="s">
        <v>22</v>
      </c>
      <c r="J115" s="68"/>
      <c r="K115" s="70">
        <f>H115</f>
        <v>662.3599999999999</v>
      </c>
      <c r="L115" s="25">
        <v>11</v>
      </c>
      <c r="M115" s="3">
        <f t="shared" ref="M115" si="66">K115*L115</f>
        <v>7285.9599999999991</v>
      </c>
      <c r="N115" s="224"/>
      <c r="O115" s="293"/>
      <c r="P115" s="534"/>
      <c r="Q115" s="534"/>
      <c r="R115" s="534"/>
      <c r="S115" s="19"/>
    </row>
    <row r="116" spans="1:19" s="4" customFormat="1" ht="15" customHeight="1" x14ac:dyDescent="0.3">
      <c r="A116" s="62"/>
      <c r="B116" s="91"/>
      <c r="C116" s="64"/>
      <c r="D116" s="65"/>
      <c r="E116" s="65"/>
      <c r="F116" s="65"/>
      <c r="G116" s="92"/>
      <c r="H116" s="92"/>
      <c r="I116" s="68"/>
      <c r="J116" s="68"/>
      <c r="K116" s="70"/>
      <c r="L116" s="25"/>
      <c r="M116" s="3"/>
      <c r="N116" s="224"/>
      <c r="O116" s="293"/>
      <c r="P116" s="226"/>
      <c r="Q116" s="226"/>
      <c r="R116" s="226"/>
      <c r="S116" s="19"/>
    </row>
    <row r="117" spans="1:19" s="4" customFormat="1" ht="15" customHeight="1" x14ac:dyDescent="0.3">
      <c r="A117" s="62"/>
      <c r="B117" s="90" t="s">
        <v>88</v>
      </c>
      <c r="C117" s="64"/>
      <c r="D117" s="65"/>
      <c r="E117" s="65"/>
      <c r="F117" s="65"/>
      <c r="G117" s="65"/>
      <c r="H117" s="65"/>
      <c r="I117" s="68"/>
      <c r="J117" s="68"/>
      <c r="K117" s="65"/>
      <c r="L117" s="25"/>
      <c r="M117" s="3"/>
      <c r="N117" s="224"/>
      <c r="O117" s="293"/>
      <c r="P117" s="226"/>
      <c r="Q117" s="226"/>
      <c r="R117" s="226"/>
      <c r="S117" s="19"/>
    </row>
    <row r="118" spans="1:19" s="4" customFormat="1" ht="15" customHeight="1" x14ac:dyDescent="0.3">
      <c r="A118" s="62"/>
      <c r="B118" s="89" t="s">
        <v>196</v>
      </c>
      <c r="C118" s="64"/>
      <c r="D118" s="65">
        <f>5+9+17+17</f>
        <v>48</v>
      </c>
      <c r="E118" s="65"/>
      <c r="F118" s="66"/>
      <c r="G118" s="66"/>
      <c r="H118" s="66">
        <f>+PRODUCT(C118:G118)</f>
        <v>48</v>
      </c>
      <c r="I118" s="68" t="s">
        <v>19</v>
      </c>
      <c r="J118" s="68"/>
      <c r="K118" s="66">
        <f t="shared" ref="K118" si="67">+PRODUCT(C118:G118)</f>
        <v>48</v>
      </c>
      <c r="L118" s="25">
        <f>24.5+(8*6)</f>
        <v>72.5</v>
      </c>
      <c r="M118" s="3">
        <f t="shared" ref="M118:M127" si="68">K118*L118</f>
        <v>3480</v>
      </c>
      <c r="N118" s="224"/>
      <c r="O118" s="293"/>
      <c r="P118" s="225"/>
      <c r="Q118" s="226"/>
      <c r="R118" s="226"/>
      <c r="S118" s="19"/>
    </row>
    <row r="119" spans="1:19" s="4" customFormat="1" ht="15" customHeight="1" x14ac:dyDescent="0.3">
      <c r="A119" s="62"/>
      <c r="B119" s="89" t="s">
        <v>197</v>
      </c>
      <c r="C119" s="64"/>
      <c r="D119" s="65">
        <f>16+19+18</f>
        <v>53</v>
      </c>
      <c r="E119" s="65"/>
      <c r="F119" s="66"/>
      <c r="G119" s="66"/>
      <c r="H119" s="66">
        <f t="shared" ref="H119:H121" si="69">+PRODUCT(C119:G119)</f>
        <v>53</v>
      </c>
      <c r="I119" s="68" t="s">
        <v>19</v>
      </c>
      <c r="J119" s="68"/>
      <c r="K119" s="66">
        <f t="shared" ref="K119:K121" si="70">+PRODUCT(C119:G119)</f>
        <v>53</v>
      </c>
      <c r="L119" s="25">
        <f>24.5+(5*8)</f>
        <v>64.5</v>
      </c>
      <c r="M119" s="3">
        <f t="shared" ref="M119:M121" si="71">K119*L119</f>
        <v>3418.5</v>
      </c>
      <c r="N119" s="224"/>
      <c r="O119" s="293"/>
      <c r="P119" s="225"/>
      <c r="Q119" s="226"/>
      <c r="R119" s="226"/>
      <c r="S119" s="19"/>
    </row>
    <row r="120" spans="1:19" s="4" customFormat="1" ht="15" customHeight="1" x14ac:dyDescent="0.3">
      <c r="A120" s="62"/>
      <c r="B120" s="89" t="s">
        <v>198</v>
      </c>
      <c r="C120" s="64"/>
      <c r="D120" s="65">
        <v>18</v>
      </c>
      <c r="E120" s="65"/>
      <c r="F120" s="66"/>
      <c r="G120" s="66"/>
      <c r="H120" s="66">
        <f t="shared" si="69"/>
        <v>18</v>
      </c>
      <c r="I120" s="68" t="s">
        <v>19</v>
      </c>
      <c r="J120" s="68"/>
      <c r="K120" s="66">
        <f t="shared" si="70"/>
        <v>18</v>
      </c>
      <c r="L120" s="25">
        <f>24.5+(3*8)</f>
        <v>48.5</v>
      </c>
      <c r="M120" s="3">
        <f t="shared" si="71"/>
        <v>873</v>
      </c>
      <c r="N120" s="224"/>
      <c r="O120" s="293"/>
      <c r="P120" s="225"/>
      <c r="Q120" s="226"/>
      <c r="R120" s="226"/>
      <c r="S120" s="19"/>
    </row>
    <row r="121" spans="1:19" s="4" customFormat="1" ht="15" customHeight="1" x14ac:dyDescent="0.3">
      <c r="A121" s="62"/>
      <c r="B121" s="89" t="s">
        <v>199</v>
      </c>
      <c r="C121" s="64"/>
      <c r="D121" s="65">
        <f>18+(2*8)</f>
        <v>34</v>
      </c>
      <c r="E121" s="65"/>
      <c r="F121" s="66"/>
      <c r="G121" s="66"/>
      <c r="H121" s="66">
        <f t="shared" si="69"/>
        <v>34</v>
      </c>
      <c r="I121" s="68" t="s">
        <v>19</v>
      </c>
      <c r="J121" s="68"/>
      <c r="K121" s="66">
        <f t="shared" si="70"/>
        <v>34</v>
      </c>
      <c r="L121" s="25">
        <v>36.5</v>
      </c>
      <c r="M121" s="3">
        <f t="shared" si="71"/>
        <v>1241</v>
      </c>
      <c r="N121" s="224"/>
      <c r="O121" s="293"/>
      <c r="P121" s="225"/>
      <c r="Q121" s="226"/>
      <c r="R121" s="226"/>
      <c r="S121" s="19"/>
    </row>
    <row r="122" spans="1:19" s="4" customFormat="1" ht="15" customHeight="1" x14ac:dyDescent="0.3">
      <c r="A122" s="62"/>
      <c r="B122" s="89" t="s">
        <v>195</v>
      </c>
      <c r="C122" s="64"/>
      <c r="D122" s="65">
        <f>5+9+17+17+16+19+18+18+18+(2*8)</f>
        <v>153</v>
      </c>
      <c r="E122" s="65"/>
      <c r="F122" s="65"/>
      <c r="G122" s="92"/>
      <c r="H122" s="66">
        <f>+PRODUCT(C122:G122)</f>
        <v>153</v>
      </c>
      <c r="I122" s="68" t="s">
        <v>19</v>
      </c>
      <c r="J122" s="68"/>
      <c r="K122" s="66">
        <f t="shared" ref="K122" si="72">+PRODUCT(C122:G122)</f>
        <v>153</v>
      </c>
      <c r="L122" s="25">
        <v>36.5</v>
      </c>
      <c r="M122" s="3">
        <f t="shared" si="68"/>
        <v>5584.5</v>
      </c>
      <c r="N122" s="224"/>
      <c r="O122" s="293"/>
      <c r="P122" s="225"/>
      <c r="Q122" s="226"/>
      <c r="R122" s="226"/>
      <c r="S122" s="19"/>
    </row>
    <row r="123" spans="1:19" s="4" customFormat="1" ht="15" customHeight="1" x14ac:dyDescent="0.3">
      <c r="A123" s="62"/>
      <c r="B123" s="89" t="s">
        <v>89</v>
      </c>
      <c r="C123" s="64"/>
      <c r="D123" s="65">
        <v>535</v>
      </c>
      <c r="E123" s="65"/>
      <c r="F123" s="65"/>
      <c r="G123" s="92"/>
      <c r="H123" s="66">
        <f>+PRODUCT(C123:G123)</f>
        <v>535</v>
      </c>
      <c r="I123" s="68" t="s">
        <v>19</v>
      </c>
      <c r="J123" s="68"/>
      <c r="K123" s="66">
        <f t="shared" ref="K123" si="73">+PRODUCT(C123:G123)</f>
        <v>535</v>
      </c>
      <c r="L123" s="25">
        <v>15</v>
      </c>
      <c r="M123" s="3">
        <f t="shared" si="68"/>
        <v>8025</v>
      </c>
      <c r="N123" s="224"/>
      <c r="O123" s="293"/>
      <c r="P123" s="226"/>
      <c r="Q123" s="226"/>
      <c r="R123" s="226"/>
      <c r="S123" s="19"/>
    </row>
    <row r="124" spans="1:19" s="4" customFormat="1" ht="15" customHeight="1" x14ac:dyDescent="0.3">
      <c r="A124" s="62"/>
      <c r="B124" s="89" t="s">
        <v>90</v>
      </c>
      <c r="C124" s="64">
        <v>12</v>
      </c>
      <c r="D124" s="65"/>
      <c r="E124" s="65"/>
      <c r="F124" s="66"/>
      <c r="G124" s="66"/>
      <c r="H124" s="66">
        <f t="shared" ref="H124:H126" si="74">+PRODUCT(C124:G124)</f>
        <v>12</v>
      </c>
      <c r="I124" s="68" t="s">
        <v>18</v>
      </c>
      <c r="J124" s="68"/>
      <c r="K124" s="66">
        <f t="shared" ref="K124:K126" si="75">+PRODUCT(C124:G124)</f>
        <v>12</v>
      </c>
      <c r="L124" s="25">
        <v>200</v>
      </c>
      <c r="M124" s="3">
        <f t="shared" si="68"/>
        <v>2400</v>
      </c>
      <c r="N124" s="224"/>
      <c r="O124" s="293"/>
      <c r="P124" s="226"/>
      <c r="Q124" s="226"/>
      <c r="R124" s="226"/>
      <c r="S124" s="19"/>
    </row>
    <row r="125" spans="1:19" s="4" customFormat="1" ht="15" customHeight="1" x14ac:dyDescent="0.3">
      <c r="A125" s="62"/>
      <c r="B125" s="89" t="s">
        <v>91</v>
      </c>
      <c r="C125" s="64">
        <v>1</v>
      </c>
      <c r="D125" s="65"/>
      <c r="E125" s="65"/>
      <c r="F125" s="66"/>
      <c r="G125" s="66"/>
      <c r="H125" s="66">
        <f t="shared" si="74"/>
        <v>1</v>
      </c>
      <c r="I125" s="68" t="s">
        <v>18</v>
      </c>
      <c r="J125" s="68"/>
      <c r="K125" s="66">
        <f t="shared" si="75"/>
        <v>1</v>
      </c>
      <c r="L125" s="25">
        <v>399.85</v>
      </c>
      <c r="M125" s="3">
        <f t="shared" si="68"/>
        <v>399.85</v>
      </c>
      <c r="N125" s="224"/>
      <c r="O125" s="293"/>
      <c r="P125" s="226"/>
      <c r="Q125" s="226"/>
      <c r="R125" s="226"/>
      <c r="S125" s="19"/>
    </row>
    <row r="126" spans="1:19" s="4" customFormat="1" ht="15" customHeight="1" x14ac:dyDescent="0.3">
      <c r="A126" s="62"/>
      <c r="B126" s="89" t="s">
        <v>92</v>
      </c>
      <c r="C126" s="64">
        <v>8</v>
      </c>
      <c r="D126" s="65"/>
      <c r="E126" s="65"/>
      <c r="F126" s="66"/>
      <c r="G126" s="66"/>
      <c r="H126" s="66">
        <f t="shared" si="74"/>
        <v>8</v>
      </c>
      <c r="I126" s="68" t="s">
        <v>18</v>
      </c>
      <c r="J126" s="68"/>
      <c r="K126" s="66">
        <f t="shared" si="75"/>
        <v>8</v>
      </c>
      <c r="L126" s="25">
        <v>1314</v>
      </c>
      <c r="M126" s="3">
        <f t="shared" si="68"/>
        <v>10512</v>
      </c>
      <c r="N126" s="224"/>
      <c r="O126" s="293"/>
      <c r="P126" s="226"/>
      <c r="Q126" s="226"/>
      <c r="R126" s="226"/>
      <c r="S126" s="19"/>
    </row>
    <row r="127" spans="1:19" s="4" customFormat="1" ht="15" customHeight="1" x14ac:dyDescent="0.3">
      <c r="A127" s="62"/>
      <c r="B127" s="89" t="s">
        <v>93</v>
      </c>
      <c r="C127" s="64"/>
      <c r="D127" s="65">
        <f>D122+D123</f>
        <v>688</v>
      </c>
      <c r="E127" s="65">
        <v>0.5</v>
      </c>
      <c r="F127" s="66"/>
      <c r="G127" s="66">
        <v>0.8</v>
      </c>
      <c r="H127" s="66">
        <f t="shared" ref="H127" si="76">+PRODUCT(C127:G127)</f>
        <v>275.2</v>
      </c>
      <c r="I127" s="68" t="s">
        <v>22</v>
      </c>
      <c r="J127" s="68"/>
      <c r="K127" s="66">
        <f t="shared" ref="K127" si="77">+PRODUCT(C127:G127)</f>
        <v>275.2</v>
      </c>
      <c r="L127" s="25">
        <v>15</v>
      </c>
      <c r="M127" s="3">
        <f t="shared" si="68"/>
        <v>4128</v>
      </c>
      <c r="N127" s="224"/>
      <c r="O127" s="293"/>
      <c r="P127" s="226"/>
      <c r="Q127" s="226"/>
      <c r="R127" s="226"/>
      <c r="S127" s="19"/>
    </row>
    <row r="128" spans="1:19" s="4" customFormat="1" ht="15" customHeight="1" x14ac:dyDescent="0.3">
      <c r="A128" s="62"/>
      <c r="B128" s="89"/>
      <c r="C128" s="64"/>
      <c r="D128" s="65"/>
      <c r="E128" s="65"/>
      <c r="F128" s="66"/>
      <c r="G128" s="66"/>
      <c r="H128" s="66"/>
      <c r="I128" s="68"/>
      <c r="J128" s="68"/>
      <c r="K128" s="66"/>
      <c r="L128" s="25"/>
      <c r="M128" s="3"/>
      <c r="N128" s="224"/>
      <c r="O128" s="293"/>
      <c r="P128" s="226"/>
      <c r="Q128" s="226"/>
      <c r="R128" s="226"/>
      <c r="S128" s="19"/>
    </row>
    <row r="129" spans="1:19" s="4" customFormat="1" ht="15" customHeight="1" x14ac:dyDescent="0.3">
      <c r="A129" s="62"/>
      <c r="B129" s="90" t="s">
        <v>94</v>
      </c>
      <c r="C129" s="64"/>
      <c r="D129" s="65"/>
      <c r="E129" s="65"/>
      <c r="F129" s="65"/>
      <c r="G129" s="65"/>
      <c r="H129" s="65"/>
      <c r="I129" s="68"/>
      <c r="J129" s="68"/>
      <c r="K129" s="65"/>
      <c r="L129" s="25"/>
      <c r="M129" s="3"/>
      <c r="N129" s="224"/>
      <c r="O129" s="293"/>
      <c r="P129" s="226"/>
      <c r="Q129" s="226"/>
      <c r="R129" s="226"/>
      <c r="S129" s="19"/>
    </row>
    <row r="130" spans="1:19" s="4" customFormat="1" ht="15" customHeight="1" x14ac:dyDescent="0.3">
      <c r="A130" s="62"/>
      <c r="B130" s="89" t="s">
        <v>95</v>
      </c>
      <c r="C130" s="64"/>
      <c r="D130" s="65">
        <f>496+58</f>
        <v>554</v>
      </c>
      <c r="E130" s="65"/>
      <c r="F130" s="66"/>
      <c r="G130" s="66"/>
      <c r="H130" s="66">
        <f>+PRODUCT(C130:G130)</f>
        <v>554</v>
      </c>
      <c r="I130" s="68" t="s">
        <v>19</v>
      </c>
      <c r="J130" s="68"/>
      <c r="K130" s="66">
        <f t="shared" ref="K130" si="78">+PRODUCT(C130:G130)</f>
        <v>554</v>
      </c>
      <c r="L130" s="25">
        <v>21</v>
      </c>
      <c r="M130" s="3">
        <f t="shared" ref="M130" si="79">K130*L130</f>
        <v>11634</v>
      </c>
      <c r="N130" s="224" t="s">
        <v>204</v>
      </c>
      <c r="O130" s="293"/>
      <c r="P130" s="226"/>
      <c r="Q130" s="226"/>
      <c r="R130" s="226"/>
      <c r="S130" s="19"/>
    </row>
    <row r="131" spans="1:19" s="4" customFormat="1" ht="15" customHeight="1" x14ac:dyDescent="0.3">
      <c r="A131" s="62"/>
      <c r="B131" s="89"/>
      <c r="C131" s="64"/>
      <c r="D131" s="65"/>
      <c r="E131" s="65"/>
      <c r="F131" s="66"/>
      <c r="G131" s="66"/>
      <c r="H131" s="66"/>
      <c r="I131" s="68"/>
      <c r="J131" s="68"/>
      <c r="K131" s="66"/>
      <c r="L131" s="25"/>
      <c r="M131" s="3"/>
      <c r="N131" s="224"/>
      <c r="O131" s="293"/>
      <c r="P131" s="226"/>
      <c r="Q131" s="226"/>
      <c r="R131" s="226"/>
      <c r="S131" s="19"/>
    </row>
    <row r="132" spans="1:19" s="4" customFormat="1" ht="15" customHeight="1" x14ac:dyDescent="0.3">
      <c r="A132" s="62"/>
      <c r="B132" s="90" t="s">
        <v>96</v>
      </c>
      <c r="C132" s="64"/>
      <c r="D132" s="65"/>
      <c r="E132" s="65"/>
      <c r="F132" s="65"/>
      <c r="G132" s="65"/>
      <c r="H132" s="65"/>
      <c r="I132" s="68"/>
      <c r="J132" s="68"/>
      <c r="K132" s="65"/>
      <c r="L132" s="25"/>
      <c r="M132" s="3"/>
      <c r="N132" s="224"/>
      <c r="O132" s="293"/>
      <c r="P132" s="226"/>
      <c r="Q132" s="226"/>
      <c r="R132" s="226"/>
      <c r="S132" s="19"/>
    </row>
    <row r="133" spans="1:19" s="4" customFormat="1" ht="15" customHeight="1" x14ac:dyDescent="0.3">
      <c r="A133" s="62"/>
      <c r="B133" s="89" t="s">
        <v>97</v>
      </c>
      <c r="C133" s="64"/>
      <c r="D133" s="65">
        <f>179+5</f>
        <v>184</v>
      </c>
      <c r="E133" s="65"/>
      <c r="F133" s="66"/>
      <c r="G133" s="66"/>
      <c r="H133" s="66">
        <f>+PRODUCT(C133:G133)</f>
        <v>184</v>
      </c>
      <c r="I133" s="68" t="s">
        <v>19</v>
      </c>
      <c r="J133" s="68"/>
      <c r="K133" s="66">
        <f t="shared" ref="K133" si="80">+PRODUCT(C133:G133)</f>
        <v>184</v>
      </c>
      <c r="L133" s="25">
        <v>21</v>
      </c>
      <c r="M133" s="3">
        <f t="shared" ref="M133" si="81">K133*L133</f>
        <v>3864</v>
      </c>
      <c r="N133" s="224" t="s">
        <v>204</v>
      </c>
      <c r="O133" s="293"/>
      <c r="P133" s="226"/>
      <c r="Q133" s="226"/>
      <c r="R133" s="226"/>
      <c r="S133" s="19"/>
    </row>
    <row r="134" spans="1:19" s="4" customFormat="1" ht="15" customHeight="1" x14ac:dyDescent="0.3">
      <c r="A134" s="62"/>
      <c r="B134" s="89" t="s">
        <v>98</v>
      </c>
      <c r="C134" s="64">
        <v>2</v>
      </c>
      <c r="D134" s="65"/>
      <c r="E134" s="65"/>
      <c r="F134" s="66"/>
      <c r="G134" s="66"/>
      <c r="H134" s="66">
        <f>+PRODUCT(C134:G134)</f>
        <v>2</v>
      </c>
      <c r="I134" s="68" t="s">
        <v>18</v>
      </c>
      <c r="J134" s="68"/>
      <c r="K134" s="66">
        <f t="shared" ref="K134" si="82">+PRODUCT(C134:G134)</f>
        <v>2</v>
      </c>
      <c r="L134" s="25" t="s">
        <v>205</v>
      </c>
      <c r="M134" s="3"/>
      <c r="N134" s="224"/>
      <c r="O134" s="293"/>
      <c r="P134" s="226"/>
      <c r="Q134" s="226"/>
      <c r="R134" s="226"/>
      <c r="S134" s="19"/>
    </row>
    <row r="135" spans="1:19" s="4" customFormat="1" ht="15" customHeight="1" x14ac:dyDescent="0.3">
      <c r="A135" s="62"/>
      <c r="B135" s="89"/>
      <c r="C135" s="64"/>
      <c r="D135" s="65"/>
      <c r="E135" s="65"/>
      <c r="F135" s="66"/>
      <c r="G135" s="66"/>
      <c r="H135" s="66"/>
      <c r="I135" s="68"/>
      <c r="J135" s="68"/>
      <c r="K135" s="66"/>
      <c r="L135" s="25"/>
      <c r="M135" s="3"/>
      <c r="N135" s="224"/>
      <c r="O135" s="293"/>
      <c r="P135" s="226"/>
      <c r="Q135" s="226"/>
      <c r="R135" s="226"/>
      <c r="S135" s="19"/>
    </row>
    <row r="136" spans="1:19" s="4" customFormat="1" ht="15" customHeight="1" x14ac:dyDescent="0.3">
      <c r="A136" s="62"/>
      <c r="B136" s="90" t="s">
        <v>99</v>
      </c>
      <c r="C136" s="64"/>
      <c r="D136" s="65"/>
      <c r="E136" s="65"/>
      <c r="F136" s="65"/>
      <c r="G136" s="65"/>
      <c r="H136" s="65"/>
      <c r="I136" s="68"/>
      <c r="J136" s="68"/>
      <c r="K136" s="65"/>
      <c r="L136" s="25"/>
      <c r="M136" s="3"/>
      <c r="N136" s="224"/>
      <c r="O136" s="293"/>
      <c r="P136" s="226"/>
      <c r="Q136" s="226"/>
      <c r="R136" s="226"/>
      <c r="S136" s="19"/>
    </row>
    <row r="137" spans="1:19" s="4" customFormat="1" ht="15" customHeight="1" x14ac:dyDescent="0.3">
      <c r="A137" s="62"/>
      <c r="B137" s="89" t="s">
        <v>100</v>
      </c>
      <c r="C137" s="64"/>
      <c r="D137" s="65">
        <v>410</v>
      </c>
      <c r="E137" s="65"/>
      <c r="F137" s="66"/>
      <c r="G137" s="66"/>
      <c r="H137" s="66">
        <f>+PRODUCT(C137:G137)</f>
        <v>410</v>
      </c>
      <c r="I137" s="68" t="s">
        <v>19</v>
      </c>
      <c r="J137" s="68"/>
      <c r="K137" s="66">
        <f t="shared" ref="K137" si="83">+PRODUCT(C137:G137)</f>
        <v>410</v>
      </c>
      <c r="L137" s="25">
        <v>21</v>
      </c>
      <c r="M137" s="3">
        <f t="shared" ref="M137" si="84">K137*L137</f>
        <v>8610</v>
      </c>
      <c r="N137" s="224" t="s">
        <v>204</v>
      </c>
      <c r="O137" s="293"/>
      <c r="P137" s="226"/>
      <c r="Q137" s="226"/>
      <c r="R137" s="226"/>
      <c r="S137" s="19"/>
    </row>
    <row r="138" spans="1:19" s="4" customFormat="1" ht="15" customHeight="1" x14ac:dyDescent="0.3">
      <c r="A138" s="62"/>
      <c r="B138" s="89" t="s">
        <v>101</v>
      </c>
      <c r="C138" s="64">
        <v>9</v>
      </c>
      <c r="D138" s="65"/>
      <c r="E138" s="65"/>
      <c r="F138" s="66"/>
      <c r="G138" s="66"/>
      <c r="H138" s="66">
        <f>+PRODUCT(C138:G138)</f>
        <v>9</v>
      </c>
      <c r="I138" s="68" t="s">
        <v>18</v>
      </c>
      <c r="J138" s="68"/>
      <c r="K138" s="66">
        <f t="shared" ref="K138" si="85">+PRODUCT(C138:G138)</f>
        <v>9</v>
      </c>
      <c r="L138" s="273" t="s">
        <v>205</v>
      </c>
      <c r="M138" s="25">
        <v>0</v>
      </c>
      <c r="N138" s="3"/>
      <c r="O138" s="293"/>
      <c r="P138" s="226"/>
      <c r="Q138" s="226"/>
      <c r="R138" s="226"/>
      <c r="S138" s="19"/>
    </row>
    <row r="139" spans="1:19" s="4" customFormat="1" ht="15" customHeight="1" x14ac:dyDescent="0.3">
      <c r="A139" s="62"/>
      <c r="B139" s="89" t="s">
        <v>98</v>
      </c>
      <c r="C139" s="64">
        <v>1</v>
      </c>
      <c r="D139" s="65"/>
      <c r="E139" s="65"/>
      <c r="F139" s="66"/>
      <c r="G139" s="66"/>
      <c r="H139" s="66">
        <f>+PRODUCT(C139:G139)</f>
        <v>1</v>
      </c>
      <c r="I139" s="68" t="s">
        <v>18</v>
      </c>
      <c r="J139" s="68"/>
      <c r="K139" s="66">
        <f t="shared" ref="K139" si="86">+PRODUCT(C139:G139)</f>
        <v>1</v>
      </c>
      <c r="L139" s="273" t="s">
        <v>205</v>
      </c>
      <c r="M139" s="3">
        <v>0</v>
      </c>
      <c r="N139" s="224"/>
      <c r="O139" s="293"/>
      <c r="P139" s="226"/>
      <c r="Q139" s="226"/>
      <c r="R139" s="226"/>
      <c r="S139" s="19"/>
    </row>
    <row r="140" spans="1:19" s="4" customFormat="1" ht="15" customHeight="1" x14ac:dyDescent="0.3">
      <c r="A140" s="62"/>
      <c r="B140" s="89"/>
      <c r="C140" s="64"/>
      <c r="D140" s="65"/>
      <c r="E140" s="65"/>
      <c r="F140" s="66"/>
      <c r="G140" s="66"/>
      <c r="H140" s="66"/>
      <c r="I140" s="68"/>
      <c r="J140" s="68"/>
      <c r="K140" s="66"/>
      <c r="L140" s="25"/>
      <c r="M140" s="3"/>
      <c r="N140" s="224"/>
      <c r="O140" s="293"/>
      <c r="P140" s="226"/>
      <c r="Q140" s="226"/>
      <c r="R140" s="226"/>
      <c r="S140" s="19"/>
    </row>
    <row r="141" spans="1:19" ht="15" customHeight="1" x14ac:dyDescent="0.3">
      <c r="A141" s="156"/>
      <c r="B141" s="90" t="s">
        <v>102</v>
      </c>
      <c r="C141" s="64"/>
      <c r="D141" s="65"/>
      <c r="E141" s="65"/>
      <c r="F141" s="65"/>
      <c r="G141" s="65"/>
      <c r="H141" s="65"/>
      <c r="I141" s="68"/>
      <c r="J141" s="68"/>
      <c r="K141" s="65"/>
      <c r="L141" s="25"/>
      <c r="M141" s="3"/>
      <c r="N141" s="268"/>
    </row>
    <row r="142" spans="1:19" ht="15" customHeight="1" x14ac:dyDescent="0.3">
      <c r="A142" s="156"/>
      <c r="B142" s="89" t="s">
        <v>103</v>
      </c>
      <c r="C142" s="64"/>
      <c r="D142" s="65">
        <f>D130</f>
        <v>554</v>
      </c>
      <c r="E142" s="65">
        <v>0.6</v>
      </c>
      <c r="F142" s="66"/>
      <c r="G142" s="66">
        <v>0.8</v>
      </c>
      <c r="H142" s="66">
        <f>D142*E142*G142</f>
        <v>265.92</v>
      </c>
      <c r="I142" s="68"/>
      <c r="J142" s="68"/>
      <c r="K142" s="66"/>
      <c r="L142" s="25"/>
      <c r="M142" s="3"/>
      <c r="N142" s="268"/>
    </row>
    <row r="143" spans="1:19" ht="15" customHeight="1" x14ac:dyDescent="0.3">
      <c r="A143" s="62"/>
      <c r="B143" s="91" t="s">
        <v>86</v>
      </c>
      <c r="C143" s="64"/>
      <c r="D143" s="65"/>
      <c r="E143" s="65"/>
      <c r="F143" s="65"/>
      <c r="G143" s="92" t="s">
        <v>87</v>
      </c>
      <c r="H143" s="92">
        <f>SUM(H142:H142)</f>
        <v>265.92</v>
      </c>
      <c r="I143" s="68" t="s">
        <v>22</v>
      </c>
      <c r="J143" s="68"/>
      <c r="K143" s="70">
        <f>H143</f>
        <v>265.92</v>
      </c>
      <c r="L143" s="25" t="s">
        <v>206</v>
      </c>
      <c r="M143" s="3"/>
      <c r="N143" s="224"/>
    </row>
    <row r="144" spans="1:19" ht="15" customHeight="1" x14ac:dyDescent="0.3">
      <c r="A144" s="62"/>
      <c r="B144" s="91"/>
      <c r="C144" s="64"/>
      <c r="D144" s="65"/>
      <c r="E144" s="65"/>
      <c r="F144" s="65"/>
      <c r="G144" s="92"/>
      <c r="H144" s="92"/>
      <c r="I144" s="68"/>
      <c r="J144" s="68"/>
      <c r="K144" s="70"/>
      <c r="L144" s="25"/>
      <c r="M144" s="3"/>
      <c r="N144" s="224"/>
    </row>
    <row r="145" spans="1:15" ht="15" customHeight="1" x14ac:dyDescent="0.3">
      <c r="A145" s="62"/>
      <c r="B145" s="154" t="s">
        <v>104</v>
      </c>
      <c r="C145" s="64"/>
      <c r="D145" s="65"/>
      <c r="E145" s="65"/>
      <c r="F145" s="65"/>
      <c r="G145" s="92"/>
      <c r="H145" s="92"/>
      <c r="I145" s="68"/>
      <c r="J145" s="68"/>
      <c r="K145" s="70"/>
      <c r="L145" s="25"/>
      <c r="M145" s="3"/>
      <c r="N145" s="224"/>
    </row>
    <row r="146" spans="1:15" ht="15" customHeight="1" x14ac:dyDescent="0.3">
      <c r="A146" s="62"/>
      <c r="B146" s="91"/>
      <c r="C146" s="64"/>
      <c r="D146" s="65"/>
      <c r="E146" s="65"/>
      <c r="F146" s="65"/>
      <c r="G146" s="92"/>
      <c r="H146" s="92"/>
      <c r="I146" s="68"/>
      <c r="J146" s="68"/>
      <c r="K146" s="70"/>
      <c r="L146" s="25"/>
      <c r="M146" s="3"/>
      <c r="N146" s="224"/>
    </row>
    <row r="147" spans="1:15" ht="15" customHeight="1" x14ac:dyDescent="0.3">
      <c r="A147" s="62"/>
      <c r="B147" s="91" t="s">
        <v>105</v>
      </c>
      <c r="C147" s="64"/>
      <c r="D147" s="65"/>
      <c r="E147" s="65"/>
      <c r="F147" s="65"/>
      <c r="G147" s="92"/>
      <c r="H147" s="92"/>
      <c r="I147" s="68"/>
      <c r="J147" s="68"/>
      <c r="K147" s="70"/>
      <c r="L147" s="25"/>
      <c r="M147" s="3"/>
      <c r="N147" s="224"/>
    </row>
    <row r="148" spans="1:15" ht="15" customHeight="1" x14ac:dyDescent="0.3">
      <c r="A148" s="62"/>
      <c r="B148" s="89" t="s">
        <v>106</v>
      </c>
      <c r="C148" s="64"/>
      <c r="D148" s="65"/>
      <c r="E148" s="65"/>
      <c r="F148" s="66">
        <v>1174</v>
      </c>
      <c r="G148" s="66">
        <v>3.6</v>
      </c>
      <c r="H148" s="66">
        <f>+PRODUCT(C148:G148)</f>
        <v>4226.4000000000005</v>
      </c>
      <c r="I148" s="68" t="s">
        <v>22</v>
      </c>
      <c r="J148" s="68"/>
      <c r="K148" s="66">
        <f t="shared" ref="K148" si="87">+PRODUCT(C148:G148)</f>
        <v>4226.4000000000005</v>
      </c>
      <c r="L148" s="25">
        <v>8</v>
      </c>
      <c r="M148" s="3">
        <f t="shared" ref="M148" si="88">K148*L148</f>
        <v>33811.200000000004</v>
      </c>
      <c r="N148" s="224" t="s">
        <v>207</v>
      </c>
    </row>
    <row r="149" spans="1:15" ht="15" customHeight="1" x14ac:dyDescent="0.3">
      <c r="A149" s="62"/>
      <c r="B149" s="91"/>
      <c r="C149" s="64"/>
      <c r="D149" s="65"/>
      <c r="E149" s="65"/>
      <c r="F149" s="65"/>
      <c r="G149" s="92"/>
      <c r="H149" s="92"/>
      <c r="I149" s="68"/>
      <c r="J149" s="68"/>
      <c r="K149" s="70"/>
      <c r="L149" s="25"/>
      <c r="M149" s="3"/>
      <c r="N149" s="224"/>
    </row>
    <row r="150" spans="1:15" ht="15" customHeight="1" x14ac:dyDescent="0.3">
      <c r="A150" s="62"/>
      <c r="B150" s="91" t="s">
        <v>107</v>
      </c>
      <c r="C150" s="64"/>
      <c r="D150" s="65"/>
      <c r="E150" s="65"/>
      <c r="F150" s="65"/>
      <c r="G150" s="92"/>
      <c r="H150" s="92"/>
      <c r="I150" s="68"/>
      <c r="J150" s="68"/>
      <c r="K150" s="70"/>
      <c r="L150" s="25"/>
      <c r="M150" s="3"/>
      <c r="N150" s="224"/>
    </row>
    <row r="151" spans="1:15" ht="15" customHeight="1" x14ac:dyDescent="0.3">
      <c r="A151" s="62"/>
      <c r="B151" s="89" t="s">
        <v>108</v>
      </c>
      <c r="C151" s="64"/>
      <c r="D151" s="65"/>
      <c r="E151" s="65"/>
      <c r="F151" s="66">
        <v>742</v>
      </c>
      <c r="G151" s="66">
        <v>0.1</v>
      </c>
      <c r="H151" s="66">
        <f>+PRODUCT(C151:G151)</f>
        <v>74.2</v>
      </c>
      <c r="I151" s="68" t="s">
        <v>22</v>
      </c>
      <c r="J151" s="68"/>
      <c r="K151" s="66">
        <f t="shared" ref="K151" si="89">+PRODUCT(C151:G151)</f>
        <v>74.2</v>
      </c>
      <c r="L151" s="25">
        <v>152</v>
      </c>
      <c r="M151" s="3">
        <f t="shared" ref="M151" si="90">K151*L151</f>
        <v>11278.4</v>
      </c>
      <c r="N151" s="224"/>
    </row>
    <row r="152" spans="1:15" ht="15" customHeight="1" x14ac:dyDescent="0.3">
      <c r="A152" s="62"/>
      <c r="B152" s="91"/>
      <c r="C152" s="64"/>
      <c r="D152" s="65"/>
      <c r="E152" s="65"/>
      <c r="F152" s="65"/>
      <c r="G152" s="92"/>
      <c r="H152" s="92"/>
      <c r="I152" s="68"/>
      <c r="J152" s="68"/>
      <c r="K152" s="70"/>
      <c r="L152" s="25"/>
      <c r="M152" s="3"/>
      <c r="N152" s="224"/>
    </row>
    <row r="153" spans="1:15" ht="15" customHeight="1" x14ac:dyDescent="0.3">
      <c r="A153" s="62"/>
      <c r="B153" s="91" t="s">
        <v>109</v>
      </c>
      <c r="C153" s="64"/>
      <c r="D153" s="65"/>
      <c r="E153" s="65"/>
      <c r="F153" s="65"/>
      <c r="G153" s="92"/>
      <c r="H153" s="92"/>
      <c r="I153" s="68"/>
      <c r="J153" s="68"/>
      <c r="K153" s="70"/>
      <c r="L153" s="25"/>
      <c r="M153" s="3"/>
      <c r="N153" s="224"/>
    </row>
    <row r="154" spans="1:15" ht="15" customHeight="1" x14ac:dyDescent="0.3">
      <c r="A154" s="62"/>
      <c r="B154" s="89" t="s">
        <v>110</v>
      </c>
      <c r="C154" s="64"/>
      <c r="D154" s="65"/>
      <c r="E154" s="65"/>
      <c r="F154" s="66">
        <v>742</v>
      </c>
      <c r="G154" s="66">
        <v>0.2</v>
      </c>
      <c r="H154" s="66">
        <f>+PRODUCT(C154:G154)</f>
        <v>148.4</v>
      </c>
      <c r="I154" s="68" t="s">
        <v>22</v>
      </c>
      <c r="J154" s="68"/>
      <c r="K154" s="66">
        <f t="shared" ref="K154" si="91">+PRODUCT(C154:G154)</f>
        <v>148.4</v>
      </c>
      <c r="L154" s="25">
        <v>180</v>
      </c>
      <c r="M154" s="3">
        <f t="shared" ref="M154" si="92">K154*L154</f>
        <v>26712</v>
      </c>
      <c r="N154" s="224"/>
    </row>
    <row r="155" spans="1:15" ht="15" customHeight="1" x14ac:dyDescent="0.3">
      <c r="A155" s="62"/>
      <c r="B155" s="91"/>
      <c r="C155" s="64"/>
      <c r="D155" s="65"/>
      <c r="E155" s="65"/>
      <c r="F155" s="65"/>
      <c r="G155" s="92"/>
      <c r="H155" s="92"/>
      <c r="I155" s="68"/>
      <c r="J155" s="68"/>
      <c r="K155" s="70"/>
      <c r="L155" s="25"/>
      <c r="M155" s="3"/>
      <c r="N155" s="224"/>
    </row>
    <row r="156" spans="1:15" ht="15" customHeight="1" x14ac:dyDescent="0.3">
      <c r="A156" s="62"/>
      <c r="B156" s="91" t="s">
        <v>111</v>
      </c>
      <c r="C156" s="64"/>
      <c r="D156" s="65"/>
      <c r="E156" s="65"/>
      <c r="F156" s="65"/>
      <c r="G156" s="92"/>
      <c r="H156" s="92"/>
      <c r="I156" s="68"/>
      <c r="J156" s="68"/>
      <c r="K156" s="70"/>
      <c r="L156" s="25"/>
      <c r="M156" s="3"/>
      <c r="N156" s="288"/>
    </row>
    <row r="157" spans="1:15" ht="40.799999999999997" x14ac:dyDescent="0.3">
      <c r="A157" s="62"/>
      <c r="B157" s="153" t="s">
        <v>200</v>
      </c>
      <c r="C157" s="64">
        <v>1</v>
      </c>
      <c r="D157" s="65"/>
      <c r="E157" s="65"/>
      <c r="F157" s="66"/>
      <c r="G157" s="66"/>
      <c r="H157" s="66">
        <f>+PRODUCT(C157:G157)</f>
        <v>1</v>
      </c>
      <c r="I157" s="68" t="s">
        <v>30</v>
      </c>
      <c r="J157" s="68"/>
      <c r="K157" s="66">
        <f t="shared" ref="K157:K159" si="93">+PRODUCT(C157:G157)</f>
        <v>1</v>
      </c>
      <c r="L157" s="289">
        <v>286380</v>
      </c>
      <c r="M157" s="3"/>
      <c r="N157" s="224" t="s">
        <v>208</v>
      </c>
    </row>
    <row r="158" spans="1:15" ht="20.399999999999999" x14ac:dyDescent="0.3">
      <c r="A158" s="62"/>
      <c r="B158" s="153" t="s">
        <v>201</v>
      </c>
      <c r="C158" s="64">
        <v>1</v>
      </c>
      <c r="D158" s="65"/>
      <c r="E158" s="65"/>
      <c r="F158" s="66"/>
      <c r="G158" s="66"/>
      <c r="H158" s="66">
        <f>+PRODUCT(C158:G158)</f>
        <v>1</v>
      </c>
      <c r="I158" s="68" t="s">
        <v>30</v>
      </c>
      <c r="J158" s="68"/>
      <c r="K158" s="66">
        <f t="shared" ref="K158" si="94">+PRODUCT(C158:G158)</f>
        <v>1</v>
      </c>
      <c r="L158" s="274"/>
      <c r="M158" s="3">
        <f t="shared" ref="M158" si="95">K158*L158</f>
        <v>0</v>
      </c>
      <c r="N158" s="278" t="s">
        <v>210</v>
      </c>
    </row>
    <row r="159" spans="1:15" ht="25.8" x14ac:dyDescent="0.5">
      <c r="A159" s="62"/>
      <c r="B159" s="153" t="s">
        <v>112</v>
      </c>
      <c r="C159" s="64">
        <v>1</v>
      </c>
      <c r="D159" s="65"/>
      <c r="E159" s="65"/>
      <c r="F159" s="66"/>
      <c r="G159" s="66"/>
      <c r="H159" s="66">
        <f>+PRODUCT(C159:G159)</f>
        <v>1</v>
      </c>
      <c r="I159" s="68" t="s">
        <v>30</v>
      </c>
      <c r="J159" s="68"/>
      <c r="K159" s="66">
        <f t="shared" si="93"/>
        <v>1</v>
      </c>
      <c r="L159" s="274">
        <v>328785.88</v>
      </c>
      <c r="M159" s="675"/>
      <c r="N159" s="278" t="s">
        <v>210</v>
      </c>
      <c r="O159" s="676" t="s">
        <v>239</v>
      </c>
    </row>
    <row r="160" spans="1:15" x14ac:dyDescent="0.3">
      <c r="A160" s="62"/>
      <c r="B160" s="89"/>
      <c r="C160" s="64"/>
      <c r="D160" s="65"/>
      <c r="E160" s="65"/>
      <c r="F160" s="65"/>
      <c r="G160" s="92"/>
      <c r="H160" s="92"/>
      <c r="I160" s="68"/>
      <c r="J160" s="68"/>
      <c r="K160" s="70"/>
      <c r="L160" s="25"/>
      <c r="M160" s="3"/>
      <c r="N160" s="224"/>
    </row>
    <row r="161" spans="1:14" x14ac:dyDescent="0.3">
      <c r="A161" s="62"/>
      <c r="B161" s="153" t="s">
        <v>113</v>
      </c>
      <c r="C161" s="64">
        <v>1</v>
      </c>
      <c r="D161" s="65"/>
      <c r="E161" s="65"/>
      <c r="F161" s="66"/>
      <c r="G161" s="66"/>
      <c r="H161" s="66">
        <f>+PRODUCT(C161:G161)</f>
        <v>1</v>
      </c>
      <c r="I161" s="68" t="s">
        <v>30</v>
      </c>
      <c r="J161" s="68"/>
      <c r="K161" s="66">
        <f t="shared" ref="K161" si="96">+PRODUCT(C161:G161)</f>
        <v>1</v>
      </c>
      <c r="L161" s="25">
        <v>18000</v>
      </c>
      <c r="M161" s="3">
        <f t="shared" ref="M161" si="97">K161*L161</f>
        <v>18000</v>
      </c>
      <c r="N161" s="224"/>
    </row>
    <row r="162" spans="1:14" x14ac:dyDescent="0.3">
      <c r="A162" s="62"/>
      <c r="B162" s="89"/>
      <c r="C162" s="64"/>
      <c r="D162" s="65"/>
      <c r="E162" s="65"/>
      <c r="F162" s="65"/>
      <c r="G162" s="92"/>
      <c r="H162" s="92"/>
      <c r="I162" s="68"/>
      <c r="J162" s="68"/>
      <c r="K162" s="70"/>
      <c r="L162" s="25"/>
      <c r="M162" s="3"/>
      <c r="N162" s="224"/>
    </row>
    <row r="163" spans="1:14" x14ac:dyDescent="0.3">
      <c r="A163" s="62"/>
      <c r="B163" s="153" t="s">
        <v>114</v>
      </c>
      <c r="C163" s="64"/>
      <c r="D163" s="65"/>
      <c r="E163" s="65"/>
      <c r="F163" s="66"/>
      <c r="G163" s="66"/>
      <c r="H163" s="66"/>
      <c r="I163" s="68"/>
      <c r="J163" s="68"/>
      <c r="K163" s="66"/>
      <c r="L163" s="25"/>
      <c r="M163" s="3"/>
      <c r="N163" s="224"/>
    </row>
    <row r="164" spans="1:14" x14ac:dyDescent="0.3">
      <c r="A164" s="62"/>
      <c r="B164" s="89" t="s">
        <v>146</v>
      </c>
      <c r="C164" s="64"/>
      <c r="D164" s="65"/>
      <c r="E164" s="65"/>
      <c r="F164" s="66"/>
      <c r="G164" s="66"/>
      <c r="H164" s="66">
        <f>K148</f>
        <v>4226.4000000000005</v>
      </c>
      <c r="I164" s="68" t="s">
        <v>22</v>
      </c>
      <c r="J164" s="68"/>
      <c r="K164" s="66"/>
      <c r="L164" s="25"/>
      <c r="M164" s="3"/>
      <c r="N164" s="224"/>
    </row>
    <row r="165" spans="1:14" x14ac:dyDescent="0.3">
      <c r="A165" s="62"/>
      <c r="B165" s="163" t="s">
        <v>148</v>
      </c>
      <c r="C165" s="164"/>
      <c r="D165" s="165"/>
      <c r="E165" s="165"/>
      <c r="F165" s="166"/>
      <c r="G165" s="166"/>
      <c r="H165" s="166">
        <f>-K151</f>
        <v>-74.2</v>
      </c>
      <c r="I165" s="167" t="s">
        <v>22</v>
      </c>
      <c r="J165" s="68"/>
      <c r="K165" s="66"/>
      <c r="L165" s="25"/>
      <c r="M165" s="3"/>
      <c r="N165" s="224"/>
    </row>
    <row r="166" spans="1:14" x14ac:dyDescent="0.3">
      <c r="A166" s="62"/>
      <c r="B166" s="163" t="s">
        <v>149</v>
      </c>
      <c r="C166" s="164"/>
      <c r="D166" s="165"/>
      <c r="E166" s="165"/>
      <c r="F166" s="166"/>
      <c r="G166" s="166"/>
      <c r="H166" s="166">
        <f>-K154</f>
        <v>-148.4</v>
      </c>
      <c r="I166" s="167" t="s">
        <v>22</v>
      </c>
      <c r="J166" s="68"/>
      <c r="K166" s="66"/>
      <c r="L166" s="25"/>
      <c r="M166" s="3"/>
      <c r="N166" s="224"/>
    </row>
    <row r="167" spans="1:14" x14ac:dyDescent="0.3">
      <c r="A167" s="62"/>
      <c r="B167" s="163" t="s">
        <v>147</v>
      </c>
      <c r="C167" s="164"/>
      <c r="D167" s="165"/>
      <c r="E167" s="165"/>
      <c r="F167" s="166">
        <v>742</v>
      </c>
      <c r="G167" s="166">
        <v>2.7</v>
      </c>
      <c r="H167" s="166">
        <f>-PRODUCT(C167:G167)</f>
        <v>-2003.4</v>
      </c>
      <c r="I167" s="167" t="s">
        <v>22</v>
      </c>
      <c r="J167" s="68"/>
      <c r="K167" s="66"/>
      <c r="L167" s="25"/>
      <c r="M167" s="3"/>
      <c r="N167" s="224"/>
    </row>
    <row r="168" spans="1:14" x14ac:dyDescent="0.3">
      <c r="A168" s="62"/>
      <c r="B168" s="92" t="s">
        <v>150</v>
      </c>
      <c r="C168" s="92"/>
      <c r="D168" s="92"/>
      <c r="E168" s="92"/>
      <c r="F168" s="92"/>
      <c r="G168" s="92"/>
      <c r="H168" s="92">
        <f>SUM(H164:H167)</f>
        <v>2000.4000000000005</v>
      </c>
      <c r="I168" s="68" t="s">
        <v>22</v>
      </c>
      <c r="J168" s="68"/>
      <c r="K168" s="70">
        <f>H168</f>
        <v>2000.4000000000005</v>
      </c>
      <c r="L168" s="25">
        <v>5</v>
      </c>
      <c r="M168" s="3">
        <f t="shared" ref="M168" si="98">K168*L168</f>
        <v>10002.000000000004</v>
      </c>
      <c r="N168" s="224" t="s">
        <v>209</v>
      </c>
    </row>
    <row r="169" spans="1:14" x14ac:dyDescent="0.3">
      <c r="A169" s="62"/>
      <c r="B169" s="89"/>
      <c r="C169" s="64"/>
      <c r="D169" s="65"/>
      <c r="E169" s="65"/>
      <c r="F169" s="66"/>
      <c r="G169" s="66"/>
      <c r="H169" s="66"/>
      <c r="I169" s="68"/>
      <c r="J169" s="68"/>
      <c r="K169" s="66"/>
      <c r="L169" s="25"/>
      <c r="M169" s="3"/>
      <c r="N169" s="224"/>
    </row>
    <row r="170" spans="1:14" x14ac:dyDescent="0.3">
      <c r="A170" s="62"/>
      <c r="B170" s="154" t="s">
        <v>115</v>
      </c>
      <c r="C170" s="64"/>
      <c r="D170" s="65"/>
      <c r="E170" s="65"/>
      <c r="F170" s="66"/>
      <c r="G170" s="66"/>
      <c r="H170" s="66"/>
      <c r="I170" s="68"/>
      <c r="J170" s="68"/>
      <c r="K170" s="66"/>
      <c r="L170" s="25"/>
      <c r="M170" s="3"/>
      <c r="N170" s="224"/>
    </row>
    <row r="171" spans="1:14" x14ac:dyDescent="0.3">
      <c r="A171" s="62"/>
      <c r="B171" s="153"/>
      <c r="C171" s="64"/>
      <c r="D171" s="65"/>
      <c r="E171" s="65"/>
      <c r="F171" s="66"/>
      <c r="G171" s="66"/>
      <c r="H171" s="66"/>
      <c r="I171" s="68"/>
      <c r="J171" s="68"/>
      <c r="K171" s="66"/>
      <c r="L171" s="25"/>
      <c r="M171" s="3"/>
      <c r="N171" s="224"/>
    </row>
    <row r="172" spans="1:14" x14ac:dyDescent="0.3">
      <c r="A172" s="62"/>
      <c r="B172" s="155" t="s">
        <v>105</v>
      </c>
      <c r="C172" s="64"/>
      <c r="D172" s="65"/>
      <c r="E172" s="65"/>
      <c r="F172" s="66"/>
      <c r="G172" s="66"/>
      <c r="H172" s="66"/>
      <c r="I172" s="68"/>
      <c r="J172" s="68"/>
      <c r="K172" s="66"/>
      <c r="L172" s="25"/>
      <c r="M172" s="3"/>
      <c r="N172" s="224"/>
    </row>
    <row r="173" spans="1:14" x14ac:dyDescent="0.3">
      <c r="A173" s="62"/>
      <c r="B173" s="89" t="s">
        <v>151</v>
      </c>
      <c r="C173" s="64"/>
      <c r="D173" s="65">
        <v>5.47</v>
      </c>
      <c r="E173" s="65">
        <v>5.44</v>
      </c>
      <c r="F173" s="66"/>
      <c r="G173" s="66">
        <v>3.2</v>
      </c>
      <c r="H173" s="66">
        <f>+PRODUCT(C173:G173)</f>
        <v>95.221760000000017</v>
      </c>
      <c r="I173" s="68" t="s">
        <v>22</v>
      </c>
      <c r="J173" s="68"/>
      <c r="K173" s="66">
        <f t="shared" ref="K173:K175" si="99">+PRODUCT(C173:G173)</f>
        <v>95.221760000000017</v>
      </c>
      <c r="L173" s="25">
        <v>8</v>
      </c>
      <c r="M173" s="3">
        <f t="shared" ref="M173:M175" si="100">K173*L173</f>
        <v>761.77408000000014</v>
      </c>
      <c r="N173" s="224"/>
    </row>
    <row r="174" spans="1:14" x14ac:dyDescent="0.3">
      <c r="A174" s="62"/>
      <c r="B174" s="89" t="s">
        <v>152</v>
      </c>
      <c r="C174" s="64"/>
      <c r="D174" s="65">
        <f>5.2+5.15+1</f>
        <v>11.350000000000001</v>
      </c>
      <c r="E174" s="65">
        <f>2.56+5.15+1</f>
        <v>8.7100000000000009</v>
      </c>
      <c r="F174" s="66"/>
      <c r="G174" s="66">
        <v>5.9</v>
      </c>
      <c r="H174" s="66">
        <f>+PRODUCT(C174:G174)</f>
        <v>583.26515000000018</v>
      </c>
      <c r="I174" s="68" t="s">
        <v>22</v>
      </c>
      <c r="J174" s="68"/>
      <c r="K174" s="66">
        <f t="shared" si="99"/>
        <v>583.26515000000018</v>
      </c>
      <c r="L174" s="25">
        <v>8</v>
      </c>
      <c r="M174" s="3">
        <f t="shared" si="100"/>
        <v>4666.1212000000014</v>
      </c>
      <c r="N174" s="224"/>
    </row>
    <row r="175" spans="1:14" x14ac:dyDescent="0.3">
      <c r="A175" s="62"/>
      <c r="B175" s="89" t="s">
        <v>153</v>
      </c>
      <c r="C175" s="64"/>
      <c r="D175" s="65">
        <f>2.4+1+2.6</f>
        <v>6</v>
      </c>
      <c r="E175" s="65">
        <f>1.8+1+2.6</f>
        <v>5.4</v>
      </c>
      <c r="F175" s="66"/>
      <c r="G175" s="66">
        <v>2.8</v>
      </c>
      <c r="H175" s="66">
        <f>+PRODUCT(C175:G175)</f>
        <v>90.720000000000013</v>
      </c>
      <c r="I175" s="68" t="s">
        <v>22</v>
      </c>
      <c r="J175" s="68"/>
      <c r="K175" s="66">
        <f t="shared" si="99"/>
        <v>90.720000000000013</v>
      </c>
      <c r="L175" s="25">
        <v>8</v>
      </c>
      <c r="M175" s="3">
        <f t="shared" si="100"/>
        <v>725.7600000000001</v>
      </c>
      <c r="N175" s="224"/>
    </row>
    <row r="176" spans="1:14" x14ac:dyDescent="0.3">
      <c r="A176" s="62"/>
      <c r="B176" s="153"/>
      <c r="C176" s="64"/>
      <c r="D176" s="65"/>
      <c r="E176" s="65"/>
      <c r="F176" s="66"/>
      <c r="G176" s="66"/>
      <c r="H176" s="66"/>
      <c r="I176" s="68"/>
      <c r="J176" s="68"/>
      <c r="K176" s="66"/>
      <c r="L176" s="25"/>
      <c r="M176" s="3"/>
      <c r="N176" s="224"/>
    </row>
    <row r="177" spans="1:14" x14ac:dyDescent="0.3">
      <c r="A177" s="62"/>
      <c r="B177" s="153" t="s">
        <v>116</v>
      </c>
      <c r="C177" s="64"/>
      <c r="D177" s="65"/>
      <c r="E177" s="65"/>
      <c r="F177" s="66"/>
      <c r="G177" s="66"/>
      <c r="H177" s="66"/>
      <c r="I177" s="68"/>
      <c r="J177" s="68"/>
      <c r="K177" s="66"/>
      <c r="L177" s="25"/>
      <c r="M177" s="3"/>
      <c r="N177" s="224"/>
    </row>
    <row r="178" spans="1:14" x14ac:dyDescent="0.3">
      <c r="A178" s="62"/>
      <c r="B178" s="89" t="s">
        <v>118</v>
      </c>
      <c r="C178" s="64"/>
      <c r="D178" s="65">
        <f>1.3+1</f>
        <v>2.2999999999999998</v>
      </c>
      <c r="E178" s="65">
        <f>1.25+1</f>
        <v>2.25</v>
      </c>
      <c r="F178" s="66"/>
      <c r="G178" s="66">
        <v>0.1</v>
      </c>
      <c r="H178" s="66">
        <f>+PRODUCT(C178:G178)</f>
        <v>0.51749999999999996</v>
      </c>
      <c r="I178" s="68" t="s">
        <v>22</v>
      </c>
      <c r="J178" s="68"/>
      <c r="K178" s="66">
        <f t="shared" ref="K178" si="101">+PRODUCT(C178:G178)</f>
        <v>0.51749999999999996</v>
      </c>
      <c r="L178" s="25">
        <v>150</v>
      </c>
      <c r="M178" s="3">
        <f t="shared" ref="M178" si="102">K178*L178</f>
        <v>77.625</v>
      </c>
      <c r="N178" s="224"/>
    </row>
    <row r="179" spans="1:14" x14ac:dyDescent="0.3">
      <c r="A179" s="62"/>
      <c r="B179" s="89" t="s">
        <v>117</v>
      </c>
      <c r="C179" s="64"/>
      <c r="D179" s="65">
        <f>5.2+1</f>
        <v>6.2</v>
      </c>
      <c r="E179" s="65">
        <f>2.46+1</f>
        <v>3.46</v>
      </c>
      <c r="F179" s="66"/>
      <c r="G179" s="66">
        <v>0.1</v>
      </c>
      <c r="H179" s="66">
        <f t="shared" ref="H179:H180" si="103">+PRODUCT(C179:G179)</f>
        <v>2.1452000000000004</v>
      </c>
      <c r="I179" s="68" t="s">
        <v>22</v>
      </c>
      <c r="J179" s="68"/>
      <c r="K179" s="66">
        <f t="shared" ref="K179:K180" si="104">+PRODUCT(C179:G179)</f>
        <v>2.1452000000000004</v>
      </c>
      <c r="L179" s="25">
        <v>150</v>
      </c>
      <c r="M179" s="3">
        <f t="shared" ref="M179:M180" si="105">K179*L179</f>
        <v>321.78000000000009</v>
      </c>
      <c r="N179" s="224"/>
    </row>
    <row r="180" spans="1:14" x14ac:dyDescent="0.3">
      <c r="A180" s="62"/>
      <c r="B180" s="89" t="s">
        <v>119</v>
      </c>
      <c r="C180" s="64"/>
      <c r="D180" s="65">
        <f>2.4+1</f>
        <v>3.4</v>
      </c>
      <c r="E180" s="65">
        <f>1.8+1</f>
        <v>2.8</v>
      </c>
      <c r="F180" s="66"/>
      <c r="G180" s="66">
        <v>0.1</v>
      </c>
      <c r="H180" s="66">
        <f t="shared" si="103"/>
        <v>0.95199999999999996</v>
      </c>
      <c r="I180" s="68" t="s">
        <v>22</v>
      </c>
      <c r="J180" s="68"/>
      <c r="K180" s="66">
        <f t="shared" si="104"/>
        <v>0.95199999999999996</v>
      </c>
      <c r="L180" s="25">
        <v>150</v>
      </c>
      <c r="M180" s="3">
        <f t="shared" si="105"/>
        <v>142.79999999999998</v>
      </c>
      <c r="N180" s="224"/>
    </row>
    <row r="181" spans="1:14" x14ac:dyDescent="0.3">
      <c r="A181" s="62"/>
      <c r="B181" s="89"/>
      <c r="C181" s="64"/>
      <c r="D181" s="65"/>
      <c r="E181" s="65"/>
      <c r="F181" s="66"/>
      <c r="G181" s="66"/>
      <c r="H181" s="66"/>
      <c r="I181" s="68"/>
      <c r="J181" s="68"/>
      <c r="K181" s="66"/>
      <c r="L181" s="25"/>
      <c r="M181" s="3"/>
      <c r="N181" s="224"/>
    </row>
    <row r="182" spans="1:14" x14ac:dyDescent="0.3">
      <c r="A182" s="62"/>
      <c r="B182" s="153" t="s">
        <v>120</v>
      </c>
      <c r="C182" s="64"/>
      <c r="D182" s="65"/>
      <c r="E182" s="65"/>
      <c r="F182" s="66"/>
      <c r="G182" s="66"/>
      <c r="H182" s="66"/>
      <c r="I182" s="68"/>
      <c r="J182" s="68"/>
      <c r="K182" s="66"/>
      <c r="L182" s="25"/>
      <c r="M182" s="3"/>
      <c r="N182" s="224"/>
    </row>
    <row r="183" spans="1:14" x14ac:dyDescent="0.3">
      <c r="A183" s="62"/>
      <c r="B183" s="89" t="s">
        <v>118</v>
      </c>
      <c r="C183" s="64"/>
      <c r="D183" s="65">
        <f>1.3+1</f>
        <v>2.2999999999999998</v>
      </c>
      <c r="E183" s="65">
        <f>1.25+1</f>
        <v>2.25</v>
      </c>
      <c r="F183" s="66"/>
      <c r="G183" s="66">
        <v>0.2</v>
      </c>
      <c r="H183" s="66">
        <f>+PRODUCT(C183:G183)</f>
        <v>1.0349999999999999</v>
      </c>
      <c r="I183" s="68" t="s">
        <v>22</v>
      </c>
      <c r="J183" s="68"/>
      <c r="K183" s="66">
        <f t="shared" ref="K183:K185" si="106">+PRODUCT(C183:G183)</f>
        <v>1.0349999999999999</v>
      </c>
      <c r="L183" s="25">
        <v>180</v>
      </c>
      <c r="M183" s="3">
        <f t="shared" ref="M183:M185" si="107">K183*L183</f>
        <v>186.29999999999998</v>
      </c>
      <c r="N183" s="224"/>
    </row>
    <row r="184" spans="1:14" x14ac:dyDescent="0.3">
      <c r="A184" s="62"/>
      <c r="B184" s="89" t="s">
        <v>117</v>
      </c>
      <c r="C184" s="64"/>
      <c r="D184" s="65">
        <f>5.2+1</f>
        <v>6.2</v>
      </c>
      <c r="E184" s="65">
        <f>2.46+1</f>
        <v>3.46</v>
      </c>
      <c r="F184" s="66"/>
      <c r="G184" s="66">
        <v>0.2</v>
      </c>
      <c r="H184" s="66">
        <f t="shared" ref="H184:H185" si="108">+PRODUCT(C184:G184)</f>
        <v>4.2904000000000009</v>
      </c>
      <c r="I184" s="68" t="s">
        <v>22</v>
      </c>
      <c r="J184" s="68"/>
      <c r="K184" s="66">
        <f t="shared" si="106"/>
        <v>4.2904000000000009</v>
      </c>
      <c r="L184" s="25">
        <v>180</v>
      </c>
      <c r="M184" s="3">
        <f t="shared" si="107"/>
        <v>772.27200000000016</v>
      </c>
      <c r="N184" s="224"/>
    </row>
    <row r="185" spans="1:14" x14ac:dyDescent="0.3">
      <c r="A185" s="62"/>
      <c r="B185" s="89" t="s">
        <v>119</v>
      </c>
      <c r="C185" s="64"/>
      <c r="D185" s="65">
        <f>2.4+1</f>
        <v>3.4</v>
      </c>
      <c r="E185" s="65">
        <f>1.8+1</f>
        <v>2.8</v>
      </c>
      <c r="F185" s="66"/>
      <c r="G185" s="66">
        <v>0.2</v>
      </c>
      <c r="H185" s="66">
        <f t="shared" si="108"/>
        <v>1.9039999999999999</v>
      </c>
      <c r="I185" s="68" t="s">
        <v>22</v>
      </c>
      <c r="J185" s="68"/>
      <c r="K185" s="66">
        <f t="shared" si="106"/>
        <v>1.9039999999999999</v>
      </c>
      <c r="L185" s="25">
        <v>180</v>
      </c>
      <c r="M185" s="3">
        <f t="shared" si="107"/>
        <v>342.71999999999997</v>
      </c>
      <c r="N185" s="224"/>
    </row>
    <row r="186" spans="1:14" x14ac:dyDescent="0.3">
      <c r="A186" s="62"/>
      <c r="B186" s="89"/>
      <c r="C186" s="64"/>
      <c r="D186" s="65"/>
      <c r="E186" s="65"/>
      <c r="F186" s="66"/>
      <c r="G186" s="66"/>
      <c r="H186" s="66"/>
      <c r="I186" s="68"/>
      <c r="J186" s="68"/>
      <c r="K186" s="66"/>
      <c r="L186" s="25"/>
      <c r="M186" s="3"/>
      <c r="N186" s="224"/>
    </row>
    <row r="187" spans="1:14" x14ac:dyDescent="0.3">
      <c r="A187" s="62"/>
      <c r="B187" s="91" t="s">
        <v>121</v>
      </c>
      <c r="C187" s="64"/>
      <c r="D187" s="65"/>
      <c r="E187" s="65"/>
      <c r="F187" s="66"/>
      <c r="G187" s="66"/>
      <c r="H187" s="66"/>
      <c r="I187" s="68"/>
      <c r="J187" s="68"/>
      <c r="K187" s="66"/>
      <c r="L187" s="25"/>
      <c r="M187" s="3"/>
      <c r="N187" s="224"/>
    </row>
    <row r="188" spans="1:14" ht="40.799999999999997" x14ac:dyDescent="0.3">
      <c r="A188" s="62"/>
      <c r="B188" s="157" t="s">
        <v>165</v>
      </c>
      <c r="C188" s="64">
        <v>1</v>
      </c>
      <c r="D188" s="65"/>
      <c r="E188" s="65"/>
      <c r="F188" s="66"/>
      <c r="G188" s="66"/>
      <c r="H188" s="66">
        <f>+PRODUCT(C188:G188)</f>
        <v>1</v>
      </c>
      <c r="I188" s="68" t="s">
        <v>30</v>
      </c>
      <c r="J188" s="68"/>
      <c r="K188" s="66">
        <f t="shared" ref="K188:K189" si="109">+PRODUCT(C188:G188)</f>
        <v>1</v>
      </c>
      <c r="L188" s="25">
        <v>25000</v>
      </c>
      <c r="M188" s="3">
        <f t="shared" ref="M188:M189" si="110">K188*L188</f>
        <v>25000</v>
      </c>
      <c r="N188" s="224"/>
    </row>
    <row r="189" spans="1:14" x14ac:dyDescent="0.3">
      <c r="A189" s="62"/>
      <c r="B189" s="89" t="s">
        <v>76</v>
      </c>
      <c r="C189" s="64">
        <v>1</v>
      </c>
      <c r="D189" s="65"/>
      <c r="E189" s="65"/>
      <c r="F189" s="66"/>
      <c r="G189" s="66"/>
      <c r="H189" s="66">
        <f>+PRODUCT(C189:G189)</f>
        <v>1</v>
      </c>
      <c r="I189" s="68" t="s">
        <v>30</v>
      </c>
      <c r="J189" s="68"/>
      <c r="K189" s="66">
        <f t="shared" si="109"/>
        <v>1</v>
      </c>
      <c r="L189" s="25">
        <v>1500</v>
      </c>
      <c r="M189" s="3">
        <f t="shared" si="110"/>
        <v>1500</v>
      </c>
      <c r="N189" s="224"/>
    </row>
    <row r="190" spans="1:14" x14ac:dyDescent="0.3">
      <c r="A190" s="62"/>
      <c r="B190" s="89"/>
      <c r="C190" s="64"/>
      <c r="D190" s="65"/>
      <c r="E190" s="65"/>
      <c r="F190" s="66"/>
      <c r="G190" s="66"/>
      <c r="H190" s="66"/>
      <c r="I190" s="68"/>
      <c r="J190" s="68"/>
      <c r="K190" s="66"/>
      <c r="L190" s="25"/>
      <c r="M190" s="3"/>
      <c r="N190" s="224"/>
    </row>
    <row r="191" spans="1:14" x14ac:dyDescent="0.3">
      <c r="A191" s="62"/>
      <c r="B191" s="153" t="s">
        <v>166</v>
      </c>
      <c r="C191" s="64"/>
      <c r="D191" s="65"/>
      <c r="E191" s="65"/>
      <c r="F191" s="66"/>
      <c r="G191" s="66"/>
      <c r="H191" s="66"/>
      <c r="I191" s="68"/>
      <c r="J191" s="68"/>
      <c r="K191" s="66"/>
      <c r="L191" s="25"/>
      <c r="M191" s="3"/>
      <c r="N191" s="224"/>
    </row>
    <row r="192" spans="1:14" x14ac:dyDescent="0.3">
      <c r="A192" s="62"/>
      <c r="B192" s="89" t="s">
        <v>146</v>
      </c>
      <c r="C192" s="64"/>
      <c r="D192" s="65"/>
      <c r="E192" s="65"/>
      <c r="F192" s="66"/>
      <c r="G192" s="66"/>
      <c r="H192" s="66">
        <f>SUM(K173:K175)</f>
        <v>769.20691000000022</v>
      </c>
      <c r="I192" s="68" t="s">
        <v>22</v>
      </c>
      <c r="J192" s="68"/>
      <c r="K192" s="66"/>
      <c r="L192" s="25"/>
      <c r="M192" s="3"/>
      <c r="N192" s="224"/>
    </row>
    <row r="193" spans="1:14" x14ac:dyDescent="0.3">
      <c r="A193" s="62"/>
      <c r="B193" s="163" t="s">
        <v>148</v>
      </c>
      <c r="C193" s="164"/>
      <c r="D193" s="165"/>
      <c r="E193" s="165"/>
      <c r="F193" s="166"/>
      <c r="G193" s="166"/>
      <c r="H193" s="166">
        <f>SUM(K178:K180)</f>
        <v>3.6147000000000005</v>
      </c>
      <c r="I193" s="167" t="s">
        <v>22</v>
      </c>
      <c r="J193" s="68"/>
      <c r="K193" s="66"/>
      <c r="L193" s="25"/>
      <c r="M193" s="3"/>
      <c r="N193" s="224"/>
    </row>
    <row r="194" spans="1:14" x14ac:dyDescent="0.3">
      <c r="A194" s="62"/>
      <c r="B194" s="163" t="s">
        <v>149</v>
      </c>
      <c r="C194" s="164"/>
      <c r="D194" s="165"/>
      <c r="E194" s="165"/>
      <c r="F194" s="166"/>
      <c r="G194" s="166"/>
      <c r="H194" s="166">
        <f>SUM(K183:K185)</f>
        <v>7.2294000000000009</v>
      </c>
      <c r="I194" s="167" t="s">
        <v>22</v>
      </c>
      <c r="J194" s="68"/>
      <c r="K194" s="66"/>
      <c r="L194" s="25"/>
      <c r="M194" s="3"/>
      <c r="N194" s="224"/>
    </row>
    <row r="195" spans="1:14" x14ac:dyDescent="0.3">
      <c r="A195" s="62"/>
      <c r="B195" s="163" t="s">
        <v>154</v>
      </c>
      <c r="C195" s="164">
        <f>(1.3*1.25*1.5)+(2.46*5.2*2.7)+(2.4*1.8*1.7)</f>
        <v>44.319900000000004</v>
      </c>
      <c r="D195" s="165"/>
      <c r="E195" s="165"/>
      <c r="F195" s="166"/>
      <c r="G195" s="166"/>
      <c r="H195" s="166">
        <f>-PRODUCT(C195:G195)</f>
        <v>-44.319900000000004</v>
      </c>
      <c r="I195" s="167" t="s">
        <v>22</v>
      </c>
      <c r="J195" s="68"/>
      <c r="K195" s="66"/>
      <c r="L195" s="25"/>
      <c r="M195" s="3"/>
      <c r="N195" s="224"/>
    </row>
    <row r="196" spans="1:14" x14ac:dyDescent="0.3">
      <c r="A196" s="62"/>
      <c r="B196" s="92" t="s">
        <v>150</v>
      </c>
      <c r="C196" s="92"/>
      <c r="D196" s="92"/>
      <c r="E196" s="92"/>
      <c r="F196" s="92"/>
      <c r="G196" s="92"/>
      <c r="H196" s="92">
        <f>SUM(H192:H195)</f>
        <v>735.73111000000029</v>
      </c>
      <c r="I196" s="68" t="s">
        <v>22</v>
      </c>
      <c r="J196" s="68"/>
      <c r="K196" s="70">
        <f>H196</f>
        <v>735.73111000000029</v>
      </c>
      <c r="L196" s="25">
        <v>5</v>
      </c>
      <c r="M196" s="3">
        <f t="shared" ref="M196" si="111">K196*L196</f>
        <v>3678.6555500000013</v>
      </c>
      <c r="N196" s="224"/>
    </row>
    <row r="197" spans="1:14" x14ac:dyDescent="0.3">
      <c r="A197" s="62"/>
      <c r="B197" s="153"/>
      <c r="C197" s="64"/>
      <c r="D197" s="65"/>
      <c r="E197" s="65"/>
      <c r="F197" s="66"/>
      <c r="G197" s="66"/>
      <c r="H197" s="66"/>
      <c r="I197" s="68"/>
      <c r="J197" s="68"/>
      <c r="K197" s="66"/>
      <c r="L197" s="25"/>
      <c r="M197" s="3"/>
      <c r="N197" s="224"/>
    </row>
    <row r="198" spans="1:14" x14ac:dyDescent="0.3">
      <c r="A198" s="62"/>
      <c r="B198" s="154" t="s">
        <v>122</v>
      </c>
      <c r="C198" s="64"/>
      <c r="D198" s="65"/>
      <c r="E198" s="65"/>
      <c r="F198" s="66"/>
      <c r="G198" s="66"/>
      <c r="H198" s="66"/>
      <c r="I198" s="68"/>
      <c r="J198" s="68"/>
      <c r="K198" s="66"/>
      <c r="L198" s="25"/>
      <c r="M198" s="3"/>
      <c r="N198" s="224"/>
    </row>
    <row r="199" spans="1:14" x14ac:dyDescent="0.3">
      <c r="A199" s="62"/>
      <c r="B199" s="89"/>
      <c r="C199" s="64"/>
      <c r="D199" s="65"/>
      <c r="E199" s="65"/>
      <c r="F199" s="66"/>
      <c r="G199" s="66"/>
      <c r="H199" s="66"/>
      <c r="I199" s="68"/>
      <c r="J199" s="68"/>
      <c r="K199" s="66"/>
      <c r="L199" s="25"/>
      <c r="M199" s="3"/>
      <c r="N199" s="224"/>
    </row>
    <row r="200" spans="1:14" x14ac:dyDescent="0.3">
      <c r="A200" s="62"/>
      <c r="B200" s="91" t="s">
        <v>105</v>
      </c>
      <c r="C200" s="64"/>
      <c r="D200" s="65"/>
      <c r="E200" s="65"/>
      <c r="F200" s="65"/>
      <c r="G200" s="92"/>
      <c r="H200" s="92"/>
      <c r="I200" s="68"/>
      <c r="J200" s="68"/>
      <c r="K200" s="70"/>
      <c r="L200" s="25"/>
      <c r="M200" s="3"/>
      <c r="N200" s="224"/>
    </row>
    <row r="201" spans="1:14" x14ac:dyDescent="0.3">
      <c r="A201" s="62"/>
      <c r="B201" s="89" t="s">
        <v>106</v>
      </c>
      <c r="C201" s="64"/>
      <c r="D201" s="65"/>
      <c r="E201" s="65"/>
      <c r="F201" s="66">
        <v>23.2</v>
      </c>
      <c r="G201" s="66">
        <v>4</v>
      </c>
      <c r="H201" s="66">
        <f>+PRODUCT(C201:G201)</f>
        <v>92.8</v>
      </c>
      <c r="I201" s="68" t="s">
        <v>22</v>
      </c>
      <c r="J201" s="68"/>
      <c r="K201" s="66">
        <f t="shared" ref="K201" si="112">+PRODUCT(C201:G201)</f>
        <v>92.8</v>
      </c>
      <c r="L201" s="25">
        <v>8</v>
      </c>
      <c r="M201" s="3">
        <f t="shared" ref="M201" si="113">K201*L201</f>
        <v>742.4</v>
      </c>
      <c r="N201" s="224"/>
    </row>
    <row r="202" spans="1:14" x14ac:dyDescent="0.3">
      <c r="A202" s="62"/>
      <c r="B202" s="91"/>
      <c r="C202" s="64"/>
      <c r="D202" s="65"/>
      <c r="E202" s="65"/>
      <c r="F202" s="66"/>
      <c r="G202" s="66"/>
      <c r="H202" s="66"/>
      <c r="I202" s="68"/>
      <c r="J202" s="68"/>
      <c r="K202" s="66"/>
      <c r="L202" s="25"/>
      <c r="M202" s="3"/>
      <c r="N202" s="224"/>
    </row>
    <row r="203" spans="1:14" x14ac:dyDescent="0.3">
      <c r="A203" s="62"/>
      <c r="B203" s="91" t="s">
        <v>123</v>
      </c>
      <c r="C203" s="64"/>
      <c r="D203" s="65"/>
      <c r="E203" s="65"/>
      <c r="F203" s="65"/>
      <c r="G203" s="92"/>
      <c r="H203" s="92"/>
      <c r="I203" s="68"/>
      <c r="J203" s="68"/>
      <c r="K203" s="70"/>
      <c r="L203" s="25"/>
      <c r="M203" s="3"/>
      <c r="N203" s="224"/>
    </row>
    <row r="204" spans="1:14" x14ac:dyDescent="0.3">
      <c r="A204" s="62"/>
      <c r="B204" s="89" t="s">
        <v>108</v>
      </c>
      <c r="C204" s="64"/>
      <c r="D204" s="65"/>
      <c r="E204" s="65"/>
      <c r="F204" s="66">
        <v>23.2</v>
      </c>
      <c r="G204" s="66">
        <v>0.1</v>
      </c>
      <c r="H204" s="66">
        <f>+PRODUCT(C204:G204)</f>
        <v>2.3199999999999998</v>
      </c>
      <c r="I204" s="68" t="s">
        <v>22</v>
      </c>
      <c r="J204" s="68"/>
      <c r="K204" s="66">
        <f t="shared" ref="K204" si="114">+PRODUCT(C204:G204)</f>
        <v>2.3199999999999998</v>
      </c>
      <c r="L204" s="25">
        <v>150</v>
      </c>
      <c r="M204" s="3">
        <f t="shared" ref="M204" si="115">K204*L204</f>
        <v>348</v>
      </c>
      <c r="N204" s="224"/>
    </row>
    <row r="205" spans="1:14" x14ac:dyDescent="0.3">
      <c r="A205" s="62"/>
      <c r="B205" s="91"/>
      <c r="C205" s="64"/>
      <c r="D205" s="65"/>
      <c r="E205" s="65"/>
      <c r="F205" s="65"/>
      <c r="G205" s="92"/>
      <c r="H205" s="92"/>
      <c r="I205" s="68"/>
      <c r="J205" s="68"/>
      <c r="K205" s="70"/>
      <c r="L205" s="25"/>
      <c r="M205" s="3"/>
      <c r="N205" s="224"/>
    </row>
    <row r="206" spans="1:14" x14ac:dyDescent="0.3">
      <c r="A206" s="62"/>
      <c r="B206" s="91" t="s">
        <v>124</v>
      </c>
      <c r="C206" s="64"/>
      <c r="D206" s="65"/>
      <c r="E206" s="65"/>
      <c r="F206" s="65"/>
      <c r="G206" s="92"/>
      <c r="H206" s="92"/>
      <c r="I206" s="68"/>
      <c r="J206" s="68"/>
      <c r="K206" s="70"/>
      <c r="L206" s="25"/>
      <c r="M206" s="3"/>
      <c r="N206" s="224"/>
    </row>
    <row r="207" spans="1:14" x14ac:dyDescent="0.3">
      <c r="A207" s="62"/>
      <c r="B207" s="89" t="s">
        <v>110</v>
      </c>
      <c r="C207" s="64"/>
      <c r="D207" s="65"/>
      <c r="E207" s="65"/>
      <c r="F207" s="66">
        <f>F204</f>
        <v>23.2</v>
      </c>
      <c r="G207" s="66">
        <v>0.2</v>
      </c>
      <c r="H207" s="66">
        <f>+PRODUCT(C207:G207)</f>
        <v>4.6399999999999997</v>
      </c>
      <c r="I207" s="68" t="s">
        <v>22</v>
      </c>
      <c r="J207" s="68"/>
      <c r="K207" s="66">
        <f t="shared" ref="K207" si="116">+PRODUCT(C207:G207)</f>
        <v>4.6399999999999997</v>
      </c>
      <c r="L207" s="25">
        <v>180</v>
      </c>
      <c r="M207" s="3">
        <f t="shared" ref="M207" si="117">K207*L207</f>
        <v>835.19999999999993</v>
      </c>
      <c r="N207" s="224"/>
    </row>
    <row r="208" spans="1:14" x14ac:dyDescent="0.3">
      <c r="A208" s="62"/>
      <c r="B208" s="91"/>
      <c r="C208" s="64"/>
      <c r="D208" s="65"/>
      <c r="E208" s="65"/>
      <c r="F208" s="66"/>
      <c r="G208" s="66"/>
      <c r="H208" s="66"/>
      <c r="I208" s="68"/>
      <c r="J208" s="68"/>
      <c r="K208" s="66"/>
      <c r="L208" s="25"/>
      <c r="M208" s="3"/>
      <c r="N208" s="224"/>
    </row>
    <row r="209" spans="1:14" x14ac:dyDescent="0.3">
      <c r="A209" s="62"/>
      <c r="B209" s="91" t="s">
        <v>111</v>
      </c>
      <c r="C209" s="64"/>
      <c r="D209" s="65"/>
      <c r="E209" s="65"/>
      <c r="F209" s="66"/>
      <c r="G209" s="66"/>
      <c r="H209" s="66"/>
      <c r="I209" s="68"/>
      <c r="J209" s="68"/>
      <c r="K209" s="66"/>
      <c r="L209" s="25"/>
      <c r="M209" s="3"/>
      <c r="N209" s="224"/>
    </row>
    <row r="210" spans="1:14" ht="30.6" x14ac:dyDescent="0.3">
      <c r="A210" s="62"/>
      <c r="B210" s="153" t="s">
        <v>125</v>
      </c>
      <c r="C210" s="64">
        <v>1</v>
      </c>
      <c r="D210" s="65"/>
      <c r="E210" s="65"/>
      <c r="F210" s="66"/>
      <c r="G210" s="66"/>
      <c r="H210" s="66">
        <f>+PRODUCT(C210:G210)</f>
        <v>1</v>
      </c>
      <c r="I210" s="68" t="s">
        <v>30</v>
      </c>
      <c r="J210" s="68"/>
      <c r="K210" s="66">
        <f t="shared" ref="K210:K211" si="118">+PRODUCT(C210:G210)</f>
        <v>1</v>
      </c>
      <c r="L210" s="25">
        <v>34000</v>
      </c>
      <c r="M210" s="3">
        <f t="shared" ref="M210:M211" si="119">K210*L210</f>
        <v>34000</v>
      </c>
      <c r="N210" s="224"/>
    </row>
    <row r="211" spans="1:14" ht="20.399999999999999" x14ac:dyDescent="0.3">
      <c r="A211" s="62"/>
      <c r="B211" s="153" t="s">
        <v>126</v>
      </c>
      <c r="C211" s="64">
        <v>1</v>
      </c>
      <c r="D211" s="65"/>
      <c r="E211" s="65"/>
      <c r="F211" s="66"/>
      <c r="G211" s="66"/>
      <c r="H211" s="66">
        <f>+PRODUCT(C211:G211)</f>
        <v>1</v>
      </c>
      <c r="I211" s="68" t="s">
        <v>30</v>
      </c>
      <c r="J211" s="68"/>
      <c r="K211" s="66">
        <f t="shared" si="118"/>
        <v>1</v>
      </c>
      <c r="L211" s="274">
        <v>36000</v>
      </c>
      <c r="M211" s="3">
        <f t="shared" si="119"/>
        <v>36000</v>
      </c>
      <c r="N211" s="278" t="s">
        <v>210</v>
      </c>
    </row>
    <row r="212" spans="1:14" x14ac:dyDescent="0.3">
      <c r="A212" s="62"/>
      <c r="B212" s="89"/>
      <c r="C212" s="64"/>
      <c r="D212" s="65"/>
      <c r="E212" s="65"/>
      <c r="F212" s="66"/>
      <c r="G212" s="66"/>
      <c r="H212" s="66"/>
      <c r="I212" s="68"/>
      <c r="J212" s="68"/>
      <c r="K212" s="66"/>
      <c r="L212" s="25"/>
      <c r="M212" s="3"/>
      <c r="N212" s="224"/>
    </row>
    <row r="213" spans="1:14" x14ac:dyDescent="0.3">
      <c r="A213" s="62"/>
      <c r="B213" s="153" t="s">
        <v>113</v>
      </c>
      <c r="C213" s="64">
        <v>1</v>
      </c>
      <c r="D213" s="65"/>
      <c r="E213" s="65"/>
      <c r="F213" s="66"/>
      <c r="G213" s="66"/>
      <c r="H213" s="66">
        <f>+PRODUCT(C213:G213)</f>
        <v>1</v>
      </c>
      <c r="I213" s="68" t="s">
        <v>30</v>
      </c>
      <c r="J213" s="68"/>
      <c r="K213" s="66">
        <f t="shared" ref="K213" si="120">+PRODUCT(C213:G213)</f>
        <v>1</v>
      </c>
      <c r="L213" s="25">
        <v>13000</v>
      </c>
      <c r="M213" s="3">
        <f t="shared" ref="M213" si="121">K213*L213</f>
        <v>13000</v>
      </c>
      <c r="N213" s="224"/>
    </row>
    <row r="214" spans="1:14" x14ac:dyDescent="0.3">
      <c r="A214" s="62"/>
      <c r="B214" s="89"/>
      <c r="C214" s="64"/>
      <c r="D214" s="65"/>
      <c r="E214" s="65"/>
      <c r="F214" s="66"/>
      <c r="G214" s="66"/>
      <c r="H214" s="66"/>
      <c r="I214" s="68"/>
      <c r="J214" s="68"/>
      <c r="K214" s="66"/>
      <c r="L214" s="25"/>
      <c r="M214" s="3"/>
      <c r="N214" s="224"/>
    </row>
    <row r="215" spans="1:14" x14ac:dyDescent="0.3">
      <c r="A215" s="62"/>
      <c r="B215" s="153" t="s">
        <v>127</v>
      </c>
      <c r="C215" s="64"/>
      <c r="D215" s="65"/>
      <c r="E215" s="65"/>
      <c r="F215" s="66"/>
      <c r="G215" s="66"/>
      <c r="H215" s="66"/>
      <c r="I215" s="68"/>
      <c r="J215" s="68"/>
      <c r="K215" s="66"/>
      <c r="L215" s="25"/>
      <c r="M215" s="3"/>
      <c r="N215" s="224"/>
    </row>
    <row r="216" spans="1:14" x14ac:dyDescent="0.3">
      <c r="A216" s="62"/>
      <c r="B216" s="89" t="s">
        <v>146</v>
      </c>
      <c r="C216" s="64"/>
      <c r="D216" s="65"/>
      <c r="E216" s="65"/>
      <c r="F216" s="66"/>
      <c r="G216" s="66"/>
      <c r="H216" s="66">
        <f>K201</f>
        <v>92.8</v>
      </c>
      <c r="I216" s="68" t="s">
        <v>22</v>
      </c>
      <c r="J216" s="68"/>
      <c r="K216" s="66"/>
      <c r="L216" s="25"/>
      <c r="M216" s="3"/>
      <c r="N216" s="224"/>
    </row>
    <row r="217" spans="1:14" x14ac:dyDescent="0.3">
      <c r="A217" s="62"/>
      <c r="B217" s="163" t="s">
        <v>148</v>
      </c>
      <c r="C217" s="164"/>
      <c r="D217" s="165"/>
      <c r="E217" s="165"/>
      <c r="F217" s="166"/>
      <c r="G217" s="166"/>
      <c r="H217" s="166">
        <f>-K204</f>
        <v>-2.3199999999999998</v>
      </c>
      <c r="I217" s="167" t="s">
        <v>22</v>
      </c>
      <c r="J217" s="68"/>
      <c r="K217" s="66"/>
      <c r="L217" s="25"/>
      <c r="M217" s="3"/>
      <c r="N217" s="224"/>
    </row>
    <row r="218" spans="1:14" x14ac:dyDescent="0.3">
      <c r="A218" s="62"/>
      <c r="B218" s="163" t="s">
        <v>149</v>
      </c>
      <c r="C218" s="164"/>
      <c r="D218" s="165"/>
      <c r="E218" s="165"/>
      <c r="F218" s="166"/>
      <c r="G218" s="166"/>
      <c r="H218" s="166">
        <f>-K207</f>
        <v>-4.6399999999999997</v>
      </c>
      <c r="I218" s="167" t="s">
        <v>22</v>
      </c>
      <c r="J218" s="68"/>
      <c r="K218" s="66"/>
      <c r="L218" s="25"/>
      <c r="M218" s="3"/>
      <c r="N218" s="224"/>
    </row>
    <row r="219" spans="1:14" x14ac:dyDescent="0.3">
      <c r="A219" s="62"/>
      <c r="B219" s="163" t="s">
        <v>147</v>
      </c>
      <c r="C219" s="164"/>
      <c r="D219" s="165">
        <v>5.7</v>
      </c>
      <c r="E219" s="165">
        <v>2.46</v>
      </c>
      <c r="F219" s="166"/>
      <c r="G219" s="166">
        <v>2.7</v>
      </c>
      <c r="H219" s="166">
        <f>-PRODUCT(C219:G219)</f>
        <v>-37.859400000000001</v>
      </c>
      <c r="I219" s="167" t="s">
        <v>22</v>
      </c>
      <c r="J219" s="68"/>
      <c r="K219" s="66"/>
      <c r="L219" s="25"/>
      <c r="M219" s="3"/>
      <c r="N219" s="224"/>
    </row>
    <row r="220" spans="1:14" x14ac:dyDescent="0.3">
      <c r="A220" s="62"/>
      <c r="B220" s="92" t="s">
        <v>150</v>
      </c>
      <c r="C220" s="92"/>
      <c r="D220" s="92"/>
      <c r="E220" s="92"/>
      <c r="F220" s="92"/>
      <c r="G220" s="92"/>
      <c r="H220" s="92">
        <f>SUM(H216:H219)</f>
        <v>47.980600000000003</v>
      </c>
      <c r="I220" s="68" t="s">
        <v>22</v>
      </c>
      <c r="J220" s="68"/>
      <c r="K220" s="70">
        <f>H220</f>
        <v>47.980600000000003</v>
      </c>
      <c r="L220" s="25">
        <v>5</v>
      </c>
      <c r="M220" s="3">
        <f t="shared" ref="M220" si="122">K220*L220</f>
        <v>239.90300000000002</v>
      </c>
      <c r="N220" s="224"/>
    </row>
    <row r="221" spans="1:14" ht="15" thickBot="1" x14ac:dyDescent="0.35">
      <c r="A221" s="62"/>
      <c r="B221" s="89"/>
      <c r="C221" s="64"/>
      <c r="D221" s="65"/>
      <c r="E221" s="65"/>
      <c r="F221" s="65"/>
      <c r="G221" s="92"/>
      <c r="H221" s="92"/>
      <c r="I221" s="68"/>
      <c r="J221" s="68"/>
      <c r="K221" s="70"/>
      <c r="L221" s="24"/>
      <c r="M221" s="3"/>
      <c r="N221" s="224"/>
    </row>
    <row r="222" spans="1:14" ht="15" customHeight="1" thickBot="1" x14ac:dyDescent="0.35">
      <c r="A222" s="93" t="s">
        <v>177</v>
      </c>
      <c r="B222" s="94" t="s">
        <v>128</v>
      </c>
      <c r="C222" s="95"/>
      <c r="D222" s="96"/>
      <c r="E222" s="96"/>
      <c r="F222" s="96"/>
      <c r="G222" s="96"/>
      <c r="H222" s="96"/>
      <c r="I222" s="96"/>
      <c r="J222" s="96"/>
      <c r="K222" s="97"/>
      <c r="L222" s="43"/>
      <c r="M222" s="276">
        <f>SUM(M84:M221)-L211-L159-L158</f>
        <v>70626.19033000007</v>
      </c>
      <c r="N222" s="279" t="s">
        <v>211</v>
      </c>
    </row>
    <row r="223" spans="1:14" ht="15" customHeight="1" thickBot="1" x14ac:dyDescent="0.35">
      <c r="A223" s="98"/>
      <c r="B223" s="99"/>
      <c r="C223" s="100"/>
      <c r="D223" s="101"/>
      <c r="E223" s="101"/>
      <c r="F223" s="101"/>
      <c r="G223" s="101"/>
      <c r="H223" s="101"/>
      <c r="I223" s="102"/>
      <c r="J223" s="102"/>
      <c r="K223" s="101"/>
      <c r="L223" s="44"/>
      <c r="M223" s="11"/>
      <c r="N223" s="269"/>
    </row>
    <row r="224" spans="1:14" ht="15" customHeight="1" thickBot="1" x14ac:dyDescent="0.35">
      <c r="A224" s="98"/>
      <c r="B224" s="103"/>
      <c r="C224" s="104"/>
      <c r="D224" s="105"/>
      <c r="E224" s="105"/>
      <c r="F224" s="105"/>
      <c r="G224" s="105"/>
      <c r="H224" s="105"/>
      <c r="I224" s="105"/>
      <c r="J224" s="105"/>
      <c r="K224" s="106"/>
      <c r="L224" s="45"/>
      <c r="M224" s="12"/>
      <c r="N224" s="268"/>
    </row>
    <row r="225" spans="1:789" ht="15" customHeight="1" thickBot="1" x14ac:dyDescent="0.35">
      <c r="A225" s="227" t="s">
        <v>178</v>
      </c>
      <c r="B225" s="181" t="s">
        <v>129</v>
      </c>
      <c r="C225" s="112"/>
      <c r="D225" s="113"/>
      <c r="E225" s="113"/>
      <c r="F225" s="113"/>
      <c r="G225" s="113"/>
      <c r="H225" s="113"/>
      <c r="I225" s="113"/>
      <c r="J225" s="113"/>
      <c r="K225" s="114"/>
      <c r="L225" s="47"/>
      <c r="M225" s="21"/>
      <c r="N225" s="224"/>
    </row>
    <row r="226" spans="1:789" ht="29.25" customHeight="1" thickBot="1" x14ac:dyDescent="0.35">
      <c r="A226" s="62"/>
      <c r="B226" s="209" t="s">
        <v>130</v>
      </c>
      <c r="C226" s="164"/>
      <c r="D226" s="165"/>
      <c r="E226" s="165"/>
      <c r="F226" s="165"/>
      <c r="G226" s="210"/>
      <c r="H226" s="65">
        <f>2941.16*0.2</f>
        <v>588.23199999999997</v>
      </c>
      <c r="I226" s="68" t="s">
        <v>22</v>
      </c>
      <c r="J226" s="68"/>
      <c r="K226" s="66">
        <f>H226</f>
        <v>588.23199999999997</v>
      </c>
      <c r="L226" s="25">
        <v>7</v>
      </c>
      <c r="M226" s="222">
        <f>K226*L226</f>
        <v>4117.6239999999998</v>
      </c>
      <c r="N226" s="224"/>
    </row>
    <row r="227" spans="1:789" ht="15" customHeight="1" thickBot="1" x14ac:dyDescent="0.35">
      <c r="A227" s="93" t="s">
        <v>178</v>
      </c>
      <c r="B227" s="94" t="s">
        <v>131</v>
      </c>
      <c r="C227" s="95"/>
      <c r="D227" s="96"/>
      <c r="E227" s="96"/>
      <c r="F227" s="96"/>
      <c r="G227" s="96"/>
      <c r="H227" s="96"/>
      <c r="I227" s="96"/>
      <c r="J227" s="96"/>
      <c r="K227" s="97"/>
      <c r="L227" s="43"/>
      <c r="M227" s="275">
        <f>M226</f>
        <v>4117.6239999999998</v>
      </c>
      <c r="N227" s="268"/>
    </row>
    <row r="228" spans="1:789" ht="15" customHeight="1" thickBot="1" x14ac:dyDescent="0.35">
      <c r="A228" s="192"/>
      <c r="B228" s="193"/>
      <c r="C228" s="194"/>
      <c r="D228" s="195"/>
      <c r="E228" s="195"/>
      <c r="F228" s="195"/>
      <c r="G228" s="195"/>
      <c r="H228" s="195"/>
      <c r="I228" s="195"/>
      <c r="J228" s="195"/>
      <c r="K228" s="196"/>
      <c r="L228" s="197"/>
      <c r="M228" s="198"/>
      <c r="N228" s="268"/>
    </row>
    <row r="229" spans="1:789" ht="15" customHeight="1" thickBot="1" x14ac:dyDescent="0.35">
      <c r="A229" s="235"/>
      <c r="B229" s="107"/>
      <c r="C229" s="108"/>
      <c r="D229" s="108"/>
      <c r="E229" s="108"/>
      <c r="F229" s="108"/>
      <c r="G229" s="108"/>
      <c r="H229" s="108"/>
      <c r="I229" s="109"/>
      <c r="J229" s="108"/>
      <c r="K229" s="108"/>
      <c r="L229" s="46" t="s">
        <v>132</v>
      </c>
      <c r="M229" s="13">
        <f>M79+M222+M227+M28</f>
        <v>505313.16433</v>
      </c>
      <c r="N229" s="290"/>
    </row>
    <row r="230" spans="1:789" ht="15" customHeight="1" thickBot="1" x14ac:dyDescent="0.35">
      <c r="A230" s="236"/>
      <c r="B230" s="237"/>
      <c r="C230" s="237"/>
      <c r="D230" s="237"/>
      <c r="E230" s="237"/>
      <c r="F230" s="237"/>
      <c r="G230" s="237"/>
      <c r="H230" s="237"/>
      <c r="I230" s="238"/>
      <c r="J230" s="237"/>
      <c r="K230" s="237"/>
      <c r="L230" s="239"/>
      <c r="M230" s="240"/>
      <c r="N230" s="268"/>
    </row>
    <row r="231" spans="1:789" ht="15" customHeight="1" thickBot="1" x14ac:dyDescent="0.35">
      <c r="A231" s="227" t="s">
        <v>133</v>
      </c>
      <c r="B231" s="181" t="s">
        <v>134</v>
      </c>
      <c r="C231" s="112"/>
      <c r="D231" s="113"/>
      <c r="E231" s="113"/>
      <c r="F231" s="113"/>
      <c r="G231" s="113"/>
      <c r="H231" s="113"/>
      <c r="I231" s="113"/>
      <c r="J231" s="113"/>
      <c r="K231" s="114"/>
      <c r="L231" s="47"/>
      <c r="M231" s="21"/>
      <c r="N231" s="268"/>
    </row>
    <row r="232" spans="1:789" ht="15" customHeight="1" thickBot="1" x14ac:dyDescent="0.35">
      <c r="A232" s="110"/>
      <c r="B232" s="111" t="s">
        <v>135</v>
      </c>
      <c r="C232" s="112"/>
      <c r="D232" s="113"/>
      <c r="E232" s="113"/>
      <c r="F232" s="113"/>
      <c r="G232" s="113"/>
      <c r="H232" s="113"/>
      <c r="I232" s="113"/>
      <c r="J232" s="113"/>
      <c r="K232" s="114"/>
      <c r="L232" s="47"/>
      <c r="M232" s="21"/>
      <c r="N232" s="268"/>
    </row>
    <row r="233" spans="1:789" s="1" customFormat="1" ht="14.1" customHeight="1" x14ac:dyDescent="0.3">
      <c r="A233" s="150"/>
      <c r="B233" s="127"/>
      <c r="C233" s="116"/>
      <c r="D233" s="117"/>
      <c r="E233" s="117"/>
      <c r="F233" s="118"/>
      <c r="G233" s="118"/>
      <c r="H233" s="118"/>
      <c r="I233" s="128"/>
      <c r="J233" s="118"/>
      <c r="K233" s="129"/>
      <c r="L233" s="49"/>
      <c r="M233" s="14"/>
      <c r="N233" s="268"/>
      <c r="O233" s="29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2"/>
      <c r="QZ233" s="2"/>
      <c r="RA233" s="2"/>
      <c r="RB233" s="2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2"/>
      <c r="RN233" s="2"/>
      <c r="RO233" s="2"/>
      <c r="RP233" s="2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2"/>
      <c r="SB233" s="2"/>
      <c r="SC233" s="2"/>
      <c r="SD233" s="2"/>
      <c r="SE233" s="2"/>
      <c r="SF233" s="2"/>
      <c r="SG233" s="2"/>
      <c r="SH233" s="2"/>
      <c r="SI233" s="2"/>
      <c r="SJ233" s="2"/>
      <c r="SK233" s="2"/>
      <c r="SL233" s="2"/>
      <c r="SM233" s="2"/>
      <c r="SN233" s="2"/>
      <c r="SO233" s="2"/>
      <c r="SP233" s="2"/>
      <c r="SQ233" s="2"/>
      <c r="SR233" s="2"/>
      <c r="SS233" s="2"/>
      <c r="ST233" s="2"/>
      <c r="SU233" s="2"/>
      <c r="SV233" s="2"/>
      <c r="SW233" s="2"/>
      <c r="SX233" s="2"/>
      <c r="SY233" s="2"/>
      <c r="SZ233" s="2"/>
      <c r="TA233" s="2"/>
      <c r="TB233" s="2"/>
      <c r="TC233" s="2"/>
      <c r="TD233" s="2"/>
      <c r="TE233" s="2"/>
      <c r="TF233" s="2"/>
      <c r="TG233" s="2"/>
      <c r="TH233" s="2"/>
      <c r="TI233" s="2"/>
      <c r="TJ233" s="2"/>
      <c r="TK233" s="2"/>
      <c r="TL233" s="2"/>
      <c r="TM233" s="2"/>
      <c r="TN233" s="2"/>
      <c r="TO233" s="2"/>
      <c r="TP233" s="2"/>
      <c r="TQ233" s="2"/>
      <c r="TR233" s="2"/>
      <c r="TS233" s="2"/>
      <c r="TT233" s="2"/>
      <c r="TU233" s="2"/>
      <c r="TV233" s="2"/>
      <c r="TW233" s="2"/>
      <c r="TX233" s="2"/>
      <c r="TY233" s="2"/>
      <c r="TZ233" s="2"/>
      <c r="UA233" s="2"/>
      <c r="UB233" s="2"/>
      <c r="UC233" s="2"/>
      <c r="UD233" s="2"/>
      <c r="UE233" s="2"/>
      <c r="UF233" s="2"/>
      <c r="UG233" s="2"/>
      <c r="UH233" s="2"/>
      <c r="UI233" s="2"/>
      <c r="UJ233" s="2"/>
      <c r="UK233" s="2"/>
      <c r="UL233" s="2"/>
      <c r="UM233" s="2"/>
      <c r="UN233" s="2"/>
      <c r="UO233" s="2"/>
      <c r="UP233" s="2"/>
      <c r="UQ233" s="2"/>
      <c r="UR233" s="2"/>
      <c r="US233" s="2"/>
      <c r="UT233" s="2"/>
      <c r="UU233" s="2"/>
      <c r="UV233" s="2"/>
      <c r="UW233" s="2"/>
      <c r="UX233" s="2"/>
      <c r="UY233" s="2"/>
      <c r="UZ233" s="2"/>
      <c r="VA233" s="2"/>
      <c r="VB233" s="2"/>
      <c r="VC233" s="2"/>
      <c r="VD233" s="2"/>
      <c r="VE233" s="2"/>
      <c r="VF233" s="2"/>
      <c r="VG233" s="2"/>
      <c r="VH233" s="2"/>
      <c r="VI233" s="2"/>
      <c r="VJ233" s="2"/>
      <c r="VK233" s="2"/>
      <c r="VL233" s="2"/>
      <c r="VM233" s="2"/>
      <c r="VN233" s="2"/>
      <c r="VO233" s="2"/>
      <c r="VP233" s="2"/>
      <c r="VQ233" s="2"/>
      <c r="VR233" s="2"/>
      <c r="VS233" s="2"/>
      <c r="VT233" s="2"/>
      <c r="VU233" s="2"/>
      <c r="VV233" s="2"/>
      <c r="VW233" s="2"/>
      <c r="VX233" s="2"/>
      <c r="VY233" s="2"/>
      <c r="VZ233" s="2"/>
      <c r="WA233" s="2"/>
      <c r="WB233" s="2"/>
      <c r="WC233" s="2"/>
      <c r="WD233" s="2"/>
      <c r="WE233" s="2"/>
      <c r="WF233" s="2"/>
      <c r="WG233" s="2"/>
      <c r="WH233" s="2"/>
      <c r="WI233" s="2"/>
      <c r="WJ233" s="2"/>
      <c r="WK233" s="2"/>
      <c r="WL233" s="2"/>
      <c r="WM233" s="2"/>
      <c r="WN233" s="2"/>
      <c r="WO233" s="2"/>
      <c r="WP233" s="2"/>
      <c r="WQ233" s="2"/>
      <c r="WR233" s="2"/>
      <c r="WS233" s="2"/>
      <c r="WT233" s="2"/>
      <c r="WU233" s="2"/>
      <c r="WV233" s="2"/>
      <c r="WW233" s="2"/>
      <c r="WX233" s="2"/>
      <c r="WY233" s="2"/>
      <c r="WZ233" s="2"/>
      <c r="XA233" s="2"/>
      <c r="XB233" s="2"/>
      <c r="XC233" s="2"/>
      <c r="XD233" s="2"/>
      <c r="XE233" s="2"/>
      <c r="XF233" s="2"/>
      <c r="XG233" s="2"/>
      <c r="XH233" s="2"/>
      <c r="XI233" s="2"/>
      <c r="XJ233" s="2"/>
      <c r="XK233" s="2"/>
      <c r="XL233" s="2"/>
      <c r="XM233" s="2"/>
      <c r="XN233" s="2"/>
      <c r="XO233" s="2"/>
      <c r="XP233" s="2"/>
      <c r="XQ233" s="2"/>
      <c r="XR233" s="2"/>
      <c r="XS233" s="2"/>
      <c r="XT233" s="2"/>
      <c r="XU233" s="2"/>
      <c r="XV233" s="2"/>
      <c r="XW233" s="2"/>
      <c r="XX233" s="2"/>
      <c r="XY233" s="2"/>
      <c r="XZ233" s="2"/>
      <c r="YA233" s="2"/>
      <c r="YB233" s="2"/>
      <c r="YC233" s="2"/>
      <c r="YD233" s="2"/>
      <c r="YE233" s="2"/>
      <c r="YF233" s="2"/>
      <c r="YG233" s="2"/>
      <c r="YH233" s="2"/>
      <c r="YI233" s="2"/>
      <c r="YJ233" s="2"/>
      <c r="YK233" s="2"/>
      <c r="YL233" s="2"/>
      <c r="YM233" s="2"/>
      <c r="YN233" s="2"/>
      <c r="YO233" s="2"/>
      <c r="YP233" s="2"/>
      <c r="YQ233" s="2"/>
      <c r="YR233" s="2"/>
      <c r="YS233" s="2"/>
      <c r="YT233" s="2"/>
      <c r="YU233" s="2"/>
      <c r="YV233" s="2"/>
      <c r="YW233" s="2"/>
      <c r="YX233" s="2"/>
      <c r="YY233" s="2"/>
      <c r="YZ233" s="2"/>
      <c r="ZA233" s="2"/>
      <c r="ZB233" s="2"/>
      <c r="ZC233" s="2"/>
      <c r="ZD233" s="2"/>
      <c r="ZE233" s="2"/>
      <c r="ZF233" s="2"/>
      <c r="ZG233" s="2"/>
      <c r="ZH233" s="2"/>
      <c r="ZI233" s="2"/>
      <c r="ZJ233" s="2"/>
      <c r="ZK233" s="2"/>
      <c r="ZL233" s="2"/>
      <c r="ZM233" s="2"/>
      <c r="ZN233" s="2"/>
      <c r="ZO233" s="2"/>
      <c r="ZP233" s="2"/>
      <c r="ZQ233" s="2"/>
      <c r="ZR233" s="2"/>
      <c r="ZS233" s="2"/>
      <c r="ZT233" s="2"/>
      <c r="ZU233" s="2"/>
      <c r="ZV233" s="2"/>
      <c r="ZW233" s="2"/>
      <c r="ZX233" s="2"/>
      <c r="ZY233" s="2"/>
      <c r="ZZ233" s="2"/>
      <c r="AAA233" s="2"/>
      <c r="AAB233" s="2"/>
      <c r="AAC233" s="2"/>
      <c r="AAD233" s="2"/>
      <c r="AAE233" s="2"/>
      <c r="AAF233" s="2"/>
      <c r="AAG233" s="2"/>
      <c r="AAH233" s="2"/>
      <c r="AAI233" s="2"/>
      <c r="AAJ233" s="2"/>
      <c r="AAK233" s="2"/>
      <c r="AAL233" s="2"/>
      <c r="AAM233" s="2"/>
      <c r="AAN233" s="2"/>
      <c r="AAO233" s="2"/>
      <c r="AAP233" s="2"/>
      <c r="AAQ233" s="2"/>
      <c r="AAR233" s="2"/>
      <c r="AAS233" s="2"/>
      <c r="AAT233" s="2"/>
      <c r="AAU233" s="2"/>
      <c r="AAV233" s="2"/>
      <c r="AAW233" s="2"/>
      <c r="AAX233" s="2"/>
      <c r="AAY233" s="2"/>
      <c r="AAZ233" s="2"/>
      <c r="ABA233" s="2"/>
      <c r="ABB233" s="2"/>
      <c r="ABC233" s="2"/>
      <c r="ABD233" s="2"/>
      <c r="ABE233" s="2"/>
      <c r="ABF233" s="2"/>
      <c r="ABG233" s="2"/>
      <c r="ABH233" s="2"/>
      <c r="ABI233" s="2"/>
      <c r="ABJ233" s="2"/>
      <c r="ABK233" s="2"/>
      <c r="ABL233" s="2"/>
      <c r="ABM233" s="2"/>
      <c r="ABN233" s="2"/>
      <c r="ABO233" s="2"/>
      <c r="ABP233" s="2"/>
      <c r="ABQ233" s="2"/>
      <c r="ABR233" s="2"/>
      <c r="ABS233" s="2"/>
      <c r="ABT233" s="2"/>
      <c r="ABU233" s="2"/>
      <c r="ABV233" s="2"/>
      <c r="ABW233" s="2"/>
      <c r="ABX233" s="2"/>
      <c r="ABY233" s="2"/>
      <c r="ABZ233" s="2"/>
      <c r="ACA233" s="2"/>
      <c r="ACB233" s="2"/>
      <c r="ACC233" s="2"/>
      <c r="ACD233" s="2"/>
      <c r="ACE233" s="2"/>
      <c r="ACF233" s="2"/>
      <c r="ACG233" s="2"/>
      <c r="ACH233" s="2"/>
      <c r="ACI233" s="2"/>
      <c r="ACJ233" s="2"/>
      <c r="ACK233" s="2"/>
      <c r="ACL233" s="2"/>
      <c r="ACM233" s="2"/>
      <c r="ACN233" s="2"/>
      <c r="ACO233" s="2"/>
      <c r="ACP233" s="2"/>
      <c r="ACQ233" s="2"/>
      <c r="ACR233" s="2"/>
      <c r="ACS233" s="2"/>
      <c r="ACT233" s="2"/>
      <c r="ACU233" s="2"/>
      <c r="ACV233" s="2"/>
      <c r="ACW233" s="2"/>
      <c r="ACX233" s="2"/>
      <c r="ACY233" s="2"/>
      <c r="ACZ233" s="2"/>
      <c r="ADA233" s="2"/>
      <c r="ADB233" s="2"/>
      <c r="ADC233" s="2"/>
      <c r="ADD233" s="2"/>
      <c r="ADE233" s="2"/>
      <c r="ADF233" s="2"/>
      <c r="ADG233" s="2"/>
      <c r="ADH233" s="2"/>
      <c r="ADI233" s="2"/>
    </row>
    <row r="234" spans="1:789" s="1" customFormat="1" ht="14.1" customHeight="1" x14ac:dyDescent="0.3">
      <c r="A234" s="150"/>
      <c r="B234" s="115" t="s">
        <v>136</v>
      </c>
      <c r="C234" s="116"/>
      <c r="D234" s="117"/>
      <c r="E234" s="117"/>
      <c r="F234" s="118"/>
      <c r="G234" s="118"/>
      <c r="H234" s="118"/>
      <c r="I234" s="128"/>
      <c r="J234" s="118"/>
      <c r="K234" s="118"/>
      <c r="L234" s="50"/>
      <c r="M234" s="15"/>
      <c r="N234" s="268"/>
      <c r="O234" s="29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2"/>
      <c r="QL234" s="2"/>
      <c r="QM234" s="2"/>
      <c r="QN234" s="2"/>
      <c r="QO234" s="2"/>
      <c r="QP234" s="2"/>
      <c r="QQ234" s="2"/>
      <c r="QR234" s="2"/>
      <c r="QS234" s="2"/>
      <c r="QT234" s="2"/>
      <c r="QU234" s="2"/>
      <c r="QV234" s="2"/>
      <c r="QW234" s="2"/>
      <c r="QX234" s="2"/>
      <c r="QY234" s="2"/>
      <c r="QZ234" s="2"/>
      <c r="RA234" s="2"/>
      <c r="RB234" s="2"/>
      <c r="RC234" s="2"/>
      <c r="RD234" s="2"/>
      <c r="RE234" s="2"/>
      <c r="RF234" s="2"/>
      <c r="RG234" s="2"/>
      <c r="RH234" s="2"/>
      <c r="RI234" s="2"/>
      <c r="RJ234" s="2"/>
      <c r="RK234" s="2"/>
      <c r="RL234" s="2"/>
      <c r="RM234" s="2"/>
      <c r="RN234" s="2"/>
      <c r="RO234" s="2"/>
      <c r="RP234" s="2"/>
      <c r="RQ234" s="2"/>
      <c r="RR234" s="2"/>
      <c r="RS234" s="2"/>
      <c r="RT234" s="2"/>
      <c r="RU234" s="2"/>
      <c r="RV234" s="2"/>
      <c r="RW234" s="2"/>
      <c r="RX234" s="2"/>
      <c r="RY234" s="2"/>
      <c r="RZ234" s="2"/>
      <c r="SA234" s="2"/>
      <c r="SB234" s="2"/>
      <c r="SC234" s="2"/>
      <c r="SD234" s="2"/>
      <c r="SE234" s="2"/>
      <c r="SF234" s="2"/>
      <c r="SG234" s="2"/>
      <c r="SH234" s="2"/>
      <c r="SI234" s="2"/>
      <c r="SJ234" s="2"/>
      <c r="SK234" s="2"/>
      <c r="SL234" s="2"/>
      <c r="SM234" s="2"/>
      <c r="SN234" s="2"/>
      <c r="SO234" s="2"/>
      <c r="SP234" s="2"/>
      <c r="SQ234" s="2"/>
      <c r="SR234" s="2"/>
      <c r="SS234" s="2"/>
      <c r="ST234" s="2"/>
      <c r="SU234" s="2"/>
      <c r="SV234" s="2"/>
      <c r="SW234" s="2"/>
      <c r="SX234" s="2"/>
      <c r="SY234" s="2"/>
      <c r="SZ234" s="2"/>
      <c r="TA234" s="2"/>
      <c r="TB234" s="2"/>
      <c r="TC234" s="2"/>
      <c r="TD234" s="2"/>
      <c r="TE234" s="2"/>
      <c r="TF234" s="2"/>
      <c r="TG234" s="2"/>
      <c r="TH234" s="2"/>
      <c r="TI234" s="2"/>
      <c r="TJ234" s="2"/>
      <c r="TK234" s="2"/>
      <c r="TL234" s="2"/>
      <c r="TM234" s="2"/>
      <c r="TN234" s="2"/>
      <c r="TO234" s="2"/>
      <c r="TP234" s="2"/>
      <c r="TQ234" s="2"/>
      <c r="TR234" s="2"/>
      <c r="TS234" s="2"/>
      <c r="TT234" s="2"/>
      <c r="TU234" s="2"/>
      <c r="TV234" s="2"/>
      <c r="TW234" s="2"/>
      <c r="TX234" s="2"/>
      <c r="TY234" s="2"/>
      <c r="TZ234" s="2"/>
      <c r="UA234" s="2"/>
      <c r="UB234" s="2"/>
      <c r="UC234" s="2"/>
      <c r="UD234" s="2"/>
      <c r="UE234" s="2"/>
      <c r="UF234" s="2"/>
      <c r="UG234" s="2"/>
      <c r="UH234" s="2"/>
      <c r="UI234" s="2"/>
      <c r="UJ234" s="2"/>
      <c r="UK234" s="2"/>
      <c r="UL234" s="2"/>
      <c r="UM234" s="2"/>
      <c r="UN234" s="2"/>
      <c r="UO234" s="2"/>
      <c r="UP234" s="2"/>
      <c r="UQ234" s="2"/>
      <c r="UR234" s="2"/>
      <c r="US234" s="2"/>
      <c r="UT234" s="2"/>
      <c r="UU234" s="2"/>
      <c r="UV234" s="2"/>
      <c r="UW234" s="2"/>
      <c r="UX234" s="2"/>
      <c r="UY234" s="2"/>
      <c r="UZ234" s="2"/>
      <c r="VA234" s="2"/>
      <c r="VB234" s="2"/>
      <c r="VC234" s="2"/>
      <c r="VD234" s="2"/>
      <c r="VE234" s="2"/>
      <c r="VF234" s="2"/>
      <c r="VG234" s="2"/>
      <c r="VH234" s="2"/>
      <c r="VI234" s="2"/>
      <c r="VJ234" s="2"/>
      <c r="VK234" s="2"/>
      <c r="VL234" s="2"/>
      <c r="VM234" s="2"/>
      <c r="VN234" s="2"/>
      <c r="VO234" s="2"/>
      <c r="VP234" s="2"/>
      <c r="VQ234" s="2"/>
      <c r="VR234" s="2"/>
      <c r="VS234" s="2"/>
      <c r="VT234" s="2"/>
      <c r="VU234" s="2"/>
      <c r="VV234" s="2"/>
      <c r="VW234" s="2"/>
      <c r="VX234" s="2"/>
      <c r="VY234" s="2"/>
      <c r="VZ234" s="2"/>
      <c r="WA234" s="2"/>
      <c r="WB234" s="2"/>
      <c r="WC234" s="2"/>
      <c r="WD234" s="2"/>
      <c r="WE234" s="2"/>
      <c r="WF234" s="2"/>
      <c r="WG234" s="2"/>
      <c r="WH234" s="2"/>
      <c r="WI234" s="2"/>
      <c r="WJ234" s="2"/>
      <c r="WK234" s="2"/>
      <c r="WL234" s="2"/>
      <c r="WM234" s="2"/>
      <c r="WN234" s="2"/>
      <c r="WO234" s="2"/>
      <c r="WP234" s="2"/>
      <c r="WQ234" s="2"/>
      <c r="WR234" s="2"/>
      <c r="WS234" s="2"/>
      <c r="WT234" s="2"/>
      <c r="WU234" s="2"/>
      <c r="WV234" s="2"/>
      <c r="WW234" s="2"/>
      <c r="WX234" s="2"/>
      <c r="WY234" s="2"/>
      <c r="WZ234" s="2"/>
      <c r="XA234" s="2"/>
      <c r="XB234" s="2"/>
      <c r="XC234" s="2"/>
      <c r="XD234" s="2"/>
      <c r="XE234" s="2"/>
      <c r="XF234" s="2"/>
      <c r="XG234" s="2"/>
      <c r="XH234" s="2"/>
      <c r="XI234" s="2"/>
      <c r="XJ234" s="2"/>
      <c r="XK234" s="2"/>
      <c r="XL234" s="2"/>
      <c r="XM234" s="2"/>
      <c r="XN234" s="2"/>
      <c r="XO234" s="2"/>
      <c r="XP234" s="2"/>
      <c r="XQ234" s="2"/>
      <c r="XR234" s="2"/>
      <c r="XS234" s="2"/>
      <c r="XT234" s="2"/>
      <c r="XU234" s="2"/>
      <c r="XV234" s="2"/>
      <c r="XW234" s="2"/>
      <c r="XX234" s="2"/>
      <c r="XY234" s="2"/>
      <c r="XZ234" s="2"/>
      <c r="YA234" s="2"/>
      <c r="YB234" s="2"/>
      <c r="YC234" s="2"/>
      <c r="YD234" s="2"/>
      <c r="YE234" s="2"/>
      <c r="YF234" s="2"/>
      <c r="YG234" s="2"/>
      <c r="YH234" s="2"/>
      <c r="YI234" s="2"/>
      <c r="YJ234" s="2"/>
      <c r="YK234" s="2"/>
      <c r="YL234" s="2"/>
      <c r="YM234" s="2"/>
      <c r="YN234" s="2"/>
      <c r="YO234" s="2"/>
      <c r="YP234" s="2"/>
      <c r="YQ234" s="2"/>
      <c r="YR234" s="2"/>
      <c r="YS234" s="2"/>
      <c r="YT234" s="2"/>
      <c r="YU234" s="2"/>
      <c r="YV234" s="2"/>
      <c r="YW234" s="2"/>
      <c r="YX234" s="2"/>
      <c r="YY234" s="2"/>
      <c r="YZ234" s="2"/>
      <c r="ZA234" s="2"/>
      <c r="ZB234" s="2"/>
      <c r="ZC234" s="2"/>
      <c r="ZD234" s="2"/>
      <c r="ZE234" s="2"/>
      <c r="ZF234" s="2"/>
      <c r="ZG234" s="2"/>
      <c r="ZH234" s="2"/>
      <c r="ZI234" s="2"/>
      <c r="ZJ234" s="2"/>
      <c r="ZK234" s="2"/>
      <c r="ZL234" s="2"/>
      <c r="ZM234" s="2"/>
      <c r="ZN234" s="2"/>
      <c r="ZO234" s="2"/>
      <c r="ZP234" s="2"/>
      <c r="ZQ234" s="2"/>
      <c r="ZR234" s="2"/>
      <c r="ZS234" s="2"/>
      <c r="ZT234" s="2"/>
      <c r="ZU234" s="2"/>
      <c r="ZV234" s="2"/>
      <c r="ZW234" s="2"/>
      <c r="ZX234" s="2"/>
      <c r="ZY234" s="2"/>
      <c r="ZZ234" s="2"/>
      <c r="AAA234" s="2"/>
      <c r="AAB234" s="2"/>
      <c r="AAC234" s="2"/>
      <c r="AAD234" s="2"/>
      <c r="AAE234" s="2"/>
      <c r="AAF234" s="2"/>
      <c r="AAG234" s="2"/>
      <c r="AAH234" s="2"/>
      <c r="AAI234" s="2"/>
      <c r="AAJ234" s="2"/>
      <c r="AAK234" s="2"/>
      <c r="AAL234" s="2"/>
      <c r="AAM234" s="2"/>
      <c r="AAN234" s="2"/>
      <c r="AAO234" s="2"/>
      <c r="AAP234" s="2"/>
      <c r="AAQ234" s="2"/>
      <c r="AAR234" s="2"/>
      <c r="AAS234" s="2"/>
      <c r="AAT234" s="2"/>
      <c r="AAU234" s="2"/>
      <c r="AAV234" s="2"/>
      <c r="AAW234" s="2"/>
      <c r="AAX234" s="2"/>
      <c r="AAY234" s="2"/>
      <c r="AAZ234" s="2"/>
      <c r="ABA234" s="2"/>
      <c r="ABB234" s="2"/>
      <c r="ABC234" s="2"/>
      <c r="ABD234" s="2"/>
      <c r="ABE234" s="2"/>
      <c r="ABF234" s="2"/>
      <c r="ABG234" s="2"/>
      <c r="ABH234" s="2"/>
      <c r="ABI234" s="2"/>
      <c r="ABJ234" s="2"/>
      <c r="ABK234" s="2"/>
      <c r="ABL234" s="2"/>
      <c r="ABM234" s="2"/>
      <c r="ABN234" s="2"/>
      <c r="ABO234" s="2"/>
      <c r="ABP234" s="2"/>
      <c r="ABQ234" s="2"/>
      <c r="ABR234" s="2"/>
      <c r="ABS234" s="2"/>
      <c r="ABT234" s="2"/>
      <c r="ABU234" s="2"/>
      <c r="ABV234" s="2"/>
      <c r="ABW234" s="2"/>
      <c r="ABX234" s="2"/>
      <c r="ABY234" s="2"/>
      <c r="ABZ234" s="2"/>
      <c r="ACA234" s="2"/>
      <c r="ACB234" s="2"/>
      <c r="ACC234" s="2"/>
      <c r="ACD234" s="2"/>
      <c r="ACE234" s="2"/>
      <c r="ACF234" s="2"/>
      <c r="ACG234" s="2"/>
      <c r="ACH234" s="2"/>
      <c r="ACI234" s="2"/>
      <c r="ACJ234" s="2"/>
      <c r="ACK234" s="2"/>
      <c r="ACL234" s="2"/>
      <c r="ACM234" s="2"/>
      <c r="ACN234" s="2"/>
      <c r="ACO234" s="2"/>
      <c r="ACP234" s="2"/>
      <c r="ACQ234" s="2"/>
      <c r="ACR234" s="2"/>
      <c r="ACS234" s="2"/>
      <c r="ACT234" s="2"/>
      <c r="ACU234" s="2"/>
      <c r="ACV234" s="2"/>
      <c r="ACW234" s="2"/>
      <c r="ACX234" s="2"/>
      <c r="ACY234" s="2"/>
      <c r="ACZ234" s="2"/>
      <c r="ADA234" s="2"/>
      <c r="ADB234" s="2"/>
      <c r="ADC234" s="2"/>
      <c r="ADD234" s="2"/>
      <c r="ADE234" s="2"/>
      <c r="ADF234" s="2"/>
      <c r="ADG234" s="2"/>
      <c r="ADH234" s="2"/>
      <c r="ADI234" s="2"/>
    </row>
    <row r="235" spans="1:789" s="2" customFormat="1" ht="14.1" customHeight="1" x14ac:dyDescent="0.3">
      <c r="A235" s="150"/>
      <c r="B235" s="189" t="s">
        <v>137</v>
      </c>
      <c r="C235" s="191">
        <v>1272.71</v>
      </c>
      <c r="D235" s="120"/>
      <c r="E235" s="120"/>
      <c r="F235" s="190"/>
      <c r="G235" s="190"/>
      <c r="H235" s="66">
        <f>+PRODUCT(C235:G235)</f>
        <v>1272.71</v>
      </c>
      <c r="I235" s="191" t="s">
        <v>22</v>
      </c>
      <c r="J235" s="190"/>
      <c r="K235" s="190">
        <f>H235</f>
        <v>1272.71</v>
      </c>
      <c r="L235" s="48"/>
      <c r="M235" s="15"/>
      <c r="N235" s="268"/>
      <c r="O235" s="294"/>
    </row>
    <row r="236" spans="1:789" s="2" customFormat="1" ht="14.1" customHeight="1" x14ac:dyDescent="0.3">
      <c r="A236" s="150"/>
      <c r="B236" s="189" t="s">
        <v>138</v>
      </c>
      <c r="C236" s="191">
        <v>535.80999999999995</v>
      </c>
      <c r="D236" s="120"/>
      <c r="E236" s="120"/>
      <c r="F236" s="190"/>
      <c r="G236" s="190"/>
      <c r="H236" s="66">
        <f>+PRODUCT(C236:G236)</f>
        <v>535.80999999999995</v>
      </c>
      <c r="I236" s="191" t="s">
        <v>22</v>
      </c>
      <c r="J236" s="190"/>
      <c r="K236" s="190">
        <f>H236</f>
        <v>535.80999999999995</v>
      </c>
      <c r="L236" s="48"/>
      <c r="M236" s="15"/>
      <c r="N236" s="268"/>
      <c r="O236" s="294"/>
    </row>
    <row r="237" spans="1:789" s="1" customFormat="1" ht="14.1" customHeight="1" x14ac:dyDescent="0.3">
      <c r="A237" s="241"/>
      <c r="B237" s="121"/>
      <c r="C237" s="122"/>
      <c r="D237" s="130"/>
      <c r="E237" s="123"/>
      <c r="F237" s="124"/>
      <c r="G237" s="124"/>
      <c r="H237" s="124"/>
      <c r="I237" s="125" t="s">
        <v>22</v>
      </c>
      <c r="J237" s="124"/>
      <c r="K237" s="126">
        <f>SUM(K235:K236)</f>
        <v>1808.52</v>
      </c>
      <c r="L237" s="26">
        <v>11</v>
      </c>
      <c r="M237" s="148">
        <f>K237*L237</f>
        <v>19893.72</v>
      </c>
      <c r="N237" s="268"/>
      <c r="O237" s="29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2"/>
      <c r="QZ237" s="2"/>
      <c r="RA237" s="2"/>
      <c r="RB237" s="2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2"/>
      <c r="RN237" s="2"/>
      <c r="RO237" s="2"/>
      <c r="RP237" s="2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2"/>
      <c r="SB237" s="2"/>
      <c r="SC237" s="2"/>
      <c r="SD237" s="2"/>
      <c r="SE237" s="2"/>
      <c r="SF237" s="2"/>
      <c r="SG237" s="2"/>
      <c r="SH237" s="2"/>
      <c r="SI237" s="2"/>
      <c r="SJ237" s="2"/>
      <c r="SK237" s="2"/>
      <c r="SL237" s="2"/>
      <c r="SM237" s="2"/>
      <c r="SN237" s="2"/>
      <c r="SO237" s="2"/>
      <c r="SP237" s="2"/>
      <c r="SQ237" s="2"/>
      <c r="SR237" s="2"/>
      <c r="SS237" s="2"/>
      <c r="ST237" s="2"/>
      <c r="SU237" s="2"/>
      <c r="SV237" s="2"/>
      <c r="SW237" s="2"/>
      <c r="SX237" s="2"/>
      <c r="SY237" s="2"/>
      <c r="SZ237" s="2"/>
      <c r="TA237" s="2"/>
      <c r="TB237" s="2"/>
      <c r="TC237" s="2"/>
      <c r="TD237" s="2"/>
      <c r="TE237" s="2"/>
      <c r="TF237" s="2"/>
      <c r="TG237" s="2"/>
      <c r="TH237" s="2"/>
      <c r="TI237" s="2"/>
      <c r="TJ237" s="2"/>
      <c r="TK237" s="2"/>
      <c r="TL237" s="2"/>
      <c r="TM237" s="2"/>
      <c r="TN237" s="2"/>
      <c r="TO237" s="2"/>
      <c r="TP237" s="2"/>
      <c r="TQ237" s="2"/>
      <c r="TR237" s="2"/>
      <c r="TS237" s="2"/>
      <c r="TT237" s="2"/>
      <c r="TU237" s="2"/>
      <c r="TV237" s="2"/>
      <c r="TW237" s="2"/>
      <c r="TX237" s="2"/>
      <c r="TY237" s="2"/>
      <c r="TZ237" s="2"/>
      <c r="UA237" s="2"/>
      <c r="UB237" s="2"/>
      <c r="UC237" s="2"/>
      <c r="UD237" s="2"/>
      <c r="UE237" s="2"/>
      <c r="UF237" s="2"/>
      <c r="UG237" s="2"/>
      <c r="UH237" s="2"/>
      <c r="UI237" s="2"/>
      <c r="UJ237" s="2"/>
      <c r="UK237" s="2"/>
      <c r="UL237" s="2"/>
      <c r="UM237" s="2"/>
      <c r="UN237" s="2"/>
      <c r="UO237" s="2"/>
      <c r="UP237" s="2"/>
      <c r="UQ237" s="2"/>
      <c r="UR237" s="2"/>
      <c r="US237" s="2"/>
      <c r="UT237" s="2"/>
      <c r="UU237" s="2"/>
      <c r="UV237" s="2"/>
      <c r="UW237" s="2"/>
      <c r="UX237" s="2"/>
      <c r="UY237" s="2"/>
      <c r="UZ237" s="2"/>
      <c r="VA237" s="2"/>
      <c r="VB237" s="2"/>
      <c r="VC237" s="2"/>
      <c r="VD237" s="2"/>
      <c r="VE237" s="2"/>
      <c r="VF237" s="2"/>
      <c r="VG237" s="2"/>
      <c r="VH237" s="2"/>
      <c r="VI237" s="2"/>
      <c r="VJ237" s="2"/>
      <c r="VK237" s="2"/>
      <c r="VL237" s="2"/>
      <c r="VM237" s="2"/>
      <c r="VN237" s="2"/>
      <c r="VO237" s="2"/>
      <c r="VP237" s="2"/>
      <c r="VQ237" s="2"/>
      <c r="VR237" s="2"/>
      <c r="VS237" s="2"/>
      <c r="VT237" s="2"/>
      <c r="VU237" s="2"/>
      <c r="VV237" s="2"/>
      <c r="VW237" s="2"/>
      <c r="VX237" s="2"/>
      <c r="VY237" s="2"/>
      <c r="VZ237" s="2"/>
      <c r="WA237" s="2"/>
      <c r="WB237" s="2"/>
      <c r="WC237" s="2"/>
      <c r="WD237" s="2"/>
      <c r="WE237" s="2"/>
      <c r="WF237" s="2"/>
      <c r="WG237" s="2"/>
      <c r="WH237" s="2"/>
      <c r="WI237" s="2"/>
      <c r="WJ237" s="2"/>
      <c r="WK237" s="2"/>
      <c r="WL237" s="2"/>
      <c r="WM237" s="2"/>
      <c r="WN237" s="2"/>
      <c r="WO237" s="2"/>
      <c r="WP237" s="2"/>
      <c r="WQ237" s="2"/>
      <c r="WR237" s="2"/>
      <c r="WS237" s="2"/>
      <c r="WT237" s="2"/>
      <c r="WU237" s="2"/>
      <c r="WV237" s="2"/>
      <c r="WW237" s="2"/>
      <c r="WX237" s="2"/>
      <c r="WY237" s="2"/>
      <c r="WZ237" s="2"/>
      <c r="XA237" s="2"/>
      <c r="XB237" s="2"/>
      <c r="XC237" s="2"/>
      <c r="XD237" s="2"/>
      <c r="XE237" s="2"/>
      <c r="XF237" s="2"/>
      <c r="XG237" s="2"/>
      <c r="XH237" s="2"/>
      <c r="XI237" s="2"/>
      <c r="XJ237" s="2"/>
      <c r="XK237" s="2"/>
      <c r="XL237" s="2"/>
      <c r="XM237" s="2"/>
      <c r="XN237" s="2"/>
      <c r="XO237" s="2"/>
      <c r="XP237" s="2"/>
      <c r="XQ237" s="2"/>
      <c r="XR237" s="2"/>
      <c r="XS237" s="2"/>
      <c r="XT237" s="2"/>
      <c r="XU237" s="2"/>
      <c r="XV237" s="2"/>
      <c r="XW237" s="2"/>
      <c r="XX237" s="2"/>
      <c r="XY237" s="2"/>
      <c r="XZ237" s="2"/>
      <c r="YA237" s="2"/>
      <c r="YB237" s="2"/>
      <c r="YC237" s="2"/>
      <c r="YD237" s="2"/>
      <c r="YE237" s="2"/>
      <c r="YF237" s="2"/>
      <c r="YG237" s="2"/>
      <c r="YH237" s="2"/>
      <c r="YI237" s="2"/>
      <c r="YJ237" s="2"/>
      <c r="YK237" s="2"/>
      <c r="YL237" s="2"/>
      <c r="YM237" s="2"/>
      <c r="YN237" s="2"/>
      <c r="YO237" s="2"/>
      <c r="YP237" s="2"/>
      <c r="YQ237" s="2"/>
      <c r="YR237" s="2"/>
      <c r="YS237" s="2"/>
      <c r="YT237" s="2"/>
      <c r="YU237" s="2"/>
      <c r="YV237" s="2"/>
      <c r="YW237" s="2"/>
      <c r="YX237" s="2"/>
      <c r="YY237" s="2"/>
      <c r="YZ237" s="2"/>
      <c r="ZA237" s="2"/>
      <c r="ZB237" s="2"/>
      <c r="ZC237" s="2"/>
      <c r="ZD237" s="2"/>
      <c r="ZE237" s="2"/>
      <c r="ZF237" s="2"/>
      <c r="ZG237" s="2"/>
      <c r="ZH237" s="2"/>
      <c r="ZI237" s="2"/>
      <c r="ZJ237" s="2"/>
      <c r="ZK237" s="2"/>
      <c r="ZL237" s="2"/>
      <c r="ZM237" s="2"/>
      <c r="ZN237" s="2"/>
      <c r="ZO237" s="2"/>
      <c r="ZP237" s="2"/>
      <c r="ZQ237" s="2"/>
      <c r="ZR237" s="2"/>
      <c r="ZS237" s="2"/>
      <c r="ZT237" s="2"/>
      <c r="ZU237" s="2"/>
      <c r="ZV237" s="2"/>
      <c r="ZW237" s="2"/>
      <c r="ZX237" s="2"/>
      <c r="ZY237" s="2"/>
      <c r="ZZ237" s="2"/>
      <c r="AAA237" s="2"/>
      <c r="AAB237" s="2"/>
      <c r="AAC237" s="2"/>
      <c r="AAD237" s="2"/>
      <c r="AAE237" s="2"/>
      <c r="AAF237" s="2"/>
      <c r="AAG237" s="2"/>
      <c r="AAH237" s="2"/>
      <c r="AAI237" s="2"/>
      <c r="AAJ237" s="2"/>
      <c r="AAK237" s="2"/>
      <c r="AAL237" s="2"/>
      <c r="AAM237" s="2"/>
      <c r="AAN237" s="2"/>
      <c r="AAO237" s="2"/>
      <c r="AAP237" s="2"/>
      <c r="AAQ237" s="2"/>
      <c r="AAR237" s="2"/>
      <c r="AAS237" s="2"/>
      <c r="AAT237" s="2"/>
      <c r="AAU237" s="2"/>
      <c r="AAV237" s="2"/>
      <c r="AAW237" s="2"/>
      <c r="AAX237" s="2"/>
      <c r="AAY237" s="2"/>
      <c r="AAZ237" s="2"/>
      <c r="ABA237" s="2"/>
      <c r="ABB237" s="2"/>
      <c r="ABC237" s="2"/>
      <c r="ABD237" s="2"/>
      <c r="ABE237" s="2"/>
      <c r="ABF237" s="2"/>
      <c r="ABG237" s="2"/>
      <c r="ABH237" s="2"/>
      <c r="ABI237" s="2"/>
      <c r="ABJ237" s="2"/>
      <c r="ABK237" s="2"/>
      <c r="ABL237" s="2"/>
      <c r="ABM237" s="2"/>
      <c r="ABN237" s="2"/>
      <c r="ABO237" s="2"/>
      <c r="ABP237" s="2"/>
      <c r="ABQ237" s="2"/>
      <c r="ABR237" s="2"/>
      <c r="ABS237" s="2"/>
      <c r="ABT237" s="2"/>
      <c r="ABU237" s="2"/>
      <c r="ABV237" s="2"/>
      <c r="ABW237" s="2"/>
      <c r="ABX237" s="2"/>
      <c r="ABY237" s="2"/>
      <c r="ABZ237" s="2"/>
      <c r="ACA237" s="2"/>
      <c r="ACB237" s="2"/>
      <c r="ACC237" s="2"/>
      <c r="ACD237" s="2"/>
      <c r="ACE237" s="2"/>
      <c r="ACF237" s="2"/>
      <c r="ACG237" s="2"/>
      <c r="ACH237" s="2"/>
      <c r="ACI237" s="2"/>
      <c r="ACJ237" s="2"/>
      <c r="ACK237" s="2"/>
      <c r="ACL237" s="2"/>
      <c r="ACM237" s="2"/>
      <c r="ACN237" s="2"/>
      <c r="ACO237" s="2"/>
      <c r="ACP237" s="2"/>
      <c r="ACQ237" s="2"/>
      <c r="ACR237" s="2"/>
      <c r="ACS237" s="2"/>
      <c r="ACT237" s="2"/>
      <c r="ACU237" s="2"/>
      <c r="ACV237" s="2"/>
      <c r="ACW237" s="2"/>
      <c r="ACX237" s="2"/>
      <c r="ACY237" s="2"/>
      <c r="ACZ237" s="2"/>
      <c r="ADA237" s="2"/>
      <c r="ADB237" s="2"/>
      <c r="ADC237" s="2"/>
      <c r="ADD237" s="2"/>
      <c r="ADE237" s="2"/>
      <c r="ADF237" s="2"/>
      <c r="ADG237" s="2"/>
      <c r="ADH237" s="2"/>
      <c r="ADI237" s="2"/>
    </row>
    <row r="238" spans="1:789" s="2" customFormat="1" ht="14.1" customHeight="1" x14ac:dyDescent="0.3">
      <c r="A238" s="242"/>
      <c r="B238" s="199"/>
      <c r="C238" s="119"/>
      <c r="D238" s="200"/>
      <c r="E238" s="120"/>
      <c r="F238" s="190"/>
      <c r="G238" s="190"/>
      <c r="H238" s="190"/>
      <c r="I238" s="191"/>
      <c r="J238" s="190"/>
      <c r="K238" s="134"/>
      <c r="L238" s="201"/>
      <c r="M238" s="15"/>
      <c r="N238" s="268"/>
      <c r="O238" s="294"/>
    </row>
    <row r="239" spans="1:789" s="2" customFormat="1" ht="14.1" customHeight="1" x14ac:dyDescent="0.3">
      <c r="A239" s="242"/>
      <c r="B239" s="115" t="s">
        <v>179</v>
      </c>
      <c r="C239" s="119"/>
      <c r="D239" s="200"/>
      <c r="E239" s="120"/>
      <c r="F239" s="190"/>
      <c r="G239" s="190"/>
      <c r="H239" s="190"/>
      <c r="I239" s="191"/>
      <c r="J239" s="190"/>
      <c r="K239" s="134"/>
      <c r="L239" s="201"/>
      <c r="M239" s="15"/>
      <c r="N239" s="268"/>
      <c r="O239" s="294"/>
    </row>
    <row r="240" spans="1:789" s="2" customFormat="1" ht="14.1" customHeight="1" x14ac:dyDescent="0.3">
      <c r="A240" s="150"/>
      <c r="B240" s="189" t="s">
        <v>180</v>
      </c>
      <c r="C240" s="191">
        <f>K237</f>
        <v>1808.52</v>
      </c>
      <c r="D240" s="120"/>
      <c r="E240" s="120"/>
      <c r="F240" s="190"/>
      <c r="G240" s="190"/>
      <c r="H240" s="66">
        <f>+PRODUCT(C240:G240)</f>
        <v>1808.52</v>
      </c>
      <c r="I240" s="191" t="s">
        <v>22</v>
      </c>
      <c r="J240" s="190"/>
      <c r="K240" s="190"/>
      <c r="L240" s="48"/>
      <c r="M240" s="15"/>
      <c r="N240" s="268"/>
      <c r="O240" s="294"/>
    </row>
    <row r="241" spans="1:789" s="2" customFormat="1" ht="14.1" customHeight="1" x14ac:dyDescent="0.3">
      <c r="A241" s="150"/>
      <c r="B241" s="202" t="s">
        <v>181</v>
      </c>
      <c r="C241" s="203">
        <v>-796.69</v>
      </c>
      <c r="D241" s="204"/>
      <c r="E241" s="204"/>
      <c r="F241" s="205"/>
      <c r="G241" s="205"/>
      <c r="H241" s="166">
        <f>+PRODUCT(C241:G241)</f>
        <v>-796.69</v>
      </c>
      <c r="I241" s="203" t="s">
        <v>22</v>
      </c>
      <c r="J241" s="205"/>
      <c r="K241" s="205"/>
      <c r="L241" s="206"/>
      <c r="M241" s="15"/>
      <c r="N241" s="268"/>
      <c r="O241" s="294"/>
    </row>
    <row r="242" spans="1:789" s="2" customFormat="1" ht="14.1" customHeight="1" x14ac:dyDescent="0.3">
      <c r="A242" s="241"/>
      <c r="B242" s="121"/>
      <c r="C242" s="122"/>
      <c r="D242" s="130"/>
      <c r="E242" s="123"/>
      <c r="F242" s="124"/>
      <c r="G242" s="124"/>
      <c r="H242" s="124">
        <f>H240+H241</f>
        <v>1011.8299999999999</v>
      </c>
      <c r="I242" s="125" t="s">
        <v>22</v>
      </c>
      <c r="J242" s="124"/>
      <c r="K242" s="126">
        <f>H242</f>
        <v>1011.8299999999999</v>
      </c>
      <c r="L242" s="26">
        <v>15</v>
      </c>
      <c r="M242" s="148">
        <f>K242*L242</f>
        <v>15177.449999999999</v>
      </c>
      <c r="N242" s="268"/>
      <c r="O242" s="294"/>
    </row>
    <row r="243" spans="1:789" s="1" customFormat="1" ht="14.1" customHeight="1" x14ac:dyDescent="0.3">
      <c r="A243" s="150"/>
      <c r="B243" s="127"/>
      <c r="C243" s="116"/>
      <c r="D243" s="117"/>
      <c r="E243" s="117"/>
      <c r="F243" s="118"/>
      <c r="G243" s="118"/>
      <c r="H243" s="118"/>
      <c r="I243" s="128"/>
      <c r="J243" s="118"/>
      <c r="K243" s="129"/>
      <c r="L243" s="49"/>
      <c r="M243" s="14"/>
      <c r="N243" s="268"/>
      <c r="O243" s="294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2"/>
      <c r="SG243" s="2"/>
      <c r="SH243" s="2"/>
      <c r="SI243" s="2"/>
      <c r="SJ243" s="2"/>
      <c r="SK243" s="2"/>
      <c r="SL243" s="2"/>
      <c r="SM243" s="2"/>
      <c r="SN243" s="2"/>
      <c r="SO243" s="2"/>
      <c r="SP243" s="2"/>
      <c r="SQ243" s="2"/>
      <c r="SR243" s="2"/>
      <c r="SS243" s="2"/>
      <c r="ST243" s="2"/>
      <c r="SU243" s="2"/>
      <c r="SV243" s="2"/>
      <c r="SW243" s="2"/>
      <c r="SX243" s="2"/>
      <c r="SY243" s="2"/>
      <c r="SZ243" s="2"/>
      <c r="TA243" s="2"/>
      <c r="TB243" s="2"/>
      <c r="TC243" s="2"/>
      <c r="TD243" s="2"/>
      <c r="TE243" s="2"/>
      <c r="TF243" s="2"/>
      <c r="TG243" s="2"/>
      <c r="TH243" s="2"/>
      <c r="TI243" s="2"/>
      <c r="TJ243" s="2"/>
      <c r="TK243" s="2"/>
      <c r="TL243" s="2"/>
      <c r="TM243" s="2"/>
      <c r="TN243" s="2"/>
      <c r="TO243" s="2"/>
      <c r="TP243" s="2"/>
      <c r="TQ243" s="2"/>
      <c r="TR243" s="2"/>
      <c r="TS243" s="2"/>
      <c r="TT243" s="2"/>
      <c r="TU243" s="2"/>
      <c r="TV243" s="2"/>
      <c r="TW243" s="2"/>
      <c r="TX243" s="2"/>
      <c r="TY243" s="2"/>
      <c r="TZ243" s="2"/>
      <c r="UA243" s="2"/>
      <c r="UB243" s="2"/>
      <c r="UC243" s="2"/>
      <c r="UD243" s="2"/>
      <c r="UE243" s="2"/>
      <c r="UF243" s="2"/>
      <c r="UG243" s="2"/>
      <c r="UH243" s="2"/>
      <c r="UI243" s="2"/>
      <c r="UJ243" s="2"/>
      <c r="UK243" s="2"/>
      <c r="UL243" s="2"/>
      <c r="UM243" s="2"/>
      <c r="UN243" s="2"/>
      <c r="UO243" s="2"/>
      <c r="UP243" s="2"/>
      <c r="UQ243" s="2"/>
      <c r="UR243" s="2"/>
      <c r="US243" s="2"/>
      <c r="UT243" s="2"/>
      <c r="UU243" s="2"/>
      <c r="UV243" s="2"/>
      <c r="UW243" s="2"/>
      <c r="UX243" s="2"/>
      <c r="UY243" s="2"/>
      <c r="UZ243" s="2"/>
      <c r="VA243" s="2"/>
      <c r="VB243" s="2"/>
      <c r="VC243" s="2"/>
      <c r="VD243" s="2"/>
      <c r="VE243" s="2"/>
      <c r="VF243" s="2"/>
      <c r="VG243" s="2"/>
      <c r="VH243" s="2"/>
      <c r="VI243" s="2"/>
      <c r="VJ243" s="2"/>
      <c r="VK243" s="2"/>
      <c r="VL243" s="2"/>
      <c r="VM243" s="2"/>
      <c r="VN243" s="2"/>
      <c r="VO243" s="2"/>
      <c r="VP243" s="2"/>
      <c r="VQ243" s="2"/>
      <c r="VR243" s="2"/>
      <c r="VS243" s="2"/>
      <c r="VT243" s="2"/>
      <c r="VU243" s="2"/>
      <c r="VV243" s="2"/>
      <c r="VW243" s="2"/>
      <c r="VX243" s="2"/>
      <c r="VY243" s="2"/>
      <c r="VZ243" s="2"/>
      <c r="WA243" s="2"/>
      <c r="WB243" s="2"/>
      <c r="WC243" s="2"/>
      <c r="WD243" s="2"/>
      <c r="WE243" s="2"/>
      <c r="WF243" s="2"/>
      <c r="WG243" s="2"/>
      <c r="WH243" s="2"/>
      <c r="WI243" s="2"/>
      <c r="WJ243" s="2"/>
      <c r="WK243" s="2"/>
      <c r="WL243" s="2"/>
      <c r="WM243" s="2"/>
      <c r="WN243" s="2"/>
      <c r="WO243" s="2"/>
      <c r="WP243" s="2"/>
      <c r="WQ243" s="2"/>
      <c r="WR243" s="2"/>
      <c r="WS243" s="2"/>
      <c r="WT243" s="2"/>
      <c r="WU243" s="2"/>
      <c r="WV243" s="2"/>
      <c r="WW243" s="2"/>
      <c r="WX243" s="2"/>
      <c r="WY243" s="2"/>
      <c r="WZ243" s="2"/>
      <c r="XA243" s="2"/>
      <c r="XB243" s="2"/>
      <c r="XC243" s="2"/>
      <c r="XD243" s="2"/>
      <c r="XE243" s="2"/>
      <c r="XF243" s="2"/>
      <c r="XG243" s="2"/>
      <c r="XH243" s="2"/>
      <c r="XI243" s="2"/>
      <c r="XJ243" s="2"/>
      <c r="XK243" s="2"/>
      <c r="XL243" s="2"/>
      <c r="XM243" s="2"/>
      <c r="XN243" s="2"/>
      <c r="XO243" s="2"/>
      <c r="XP243" s="2"/>
      <c r="XQ243" s="2"/>
      <c r="XR243" s="2"/>
      <c r="XS243" s="2"/>
      <c r="XT243" s="2"/>
      <c r="XU243" s="2"/>
      <c r="XV243" s="2"/>
      <c r="XW243" s="2"/>
      <c r="XX243" s="2"/>
      <c r="XY243" s="2"/>
      <c r="XZ243" s="2"/>
      <c r="YA243" s="2"/>
      <c r="YB243" s="2"/>
      <c r="YC243" s="2"/>
      <c r="YD243" s="2"/>
      <c r="YE243" s="2"/>
      <c r="YF243" s="2"/>
      <c r="YG243" s="2"/>
      <c r="YH243" s="2"/>
      <c r="YI243" s="2"/>
      <c r="YJ243" s="2"/>
      <c r="YK243" s="2"/>
      <c r="YL243" s="2"/>
      <c r="YM243" s="2"/>
      <c r="YN243" s="2"/>
      <c r="YO243" s="2"/>
      <c r="YP243" s="2"/>
      <c r="YQ243" s="2"/>
      <c r="YR243" s="2"/>
      <c r="YS243" s="2"/>
      <c r="YT243" s="2"/>
      <c r="YU243" s="2"/>
      <c r="YV243" s="2"/>
      <c r="YW243" s="2"/>
      <c r="YX243" s="2"/>
      <c r="YY243" s="2"/>
      <c r="YZ243" s="2"/>
      <c r="ZA243" s="2"/>
      <c r="ZB243" s="2"/>
      <c r="ZC243" s="2"/>
      <c r="ZD243" s="2"/>
      <c r="ZE243" s="2"/>
      <c r="ZF243" s="2"/>
      <c r="ZG243" s="2"/>
      <c r="ZH243" s="2"/>
      <c r="ZI243" s="2"/>
      <c r="ZJ243" s="2"/>
      <c r="ZK243" s="2"/>
      <c r="ZL243" s="2"/>
      <c r="ZM243" s="2"/>
      <c r="ZN243" s="2"/>
      <c r="ZO243" s="2"/>
      <c r="ZP243" s="2"/>
      <c r="ZQ243" s="2"/>
      <c r="ZR243" s="2"/>
      <c r="ZS243" s="2"/>
      <c r="ZT243" s="2"/>
      <c r="ZU243" s="2"/>
      <c r="ZV243" s="2"/>
      <c r="ZW243" s="2"/>
      <c r="ZX243" s="2"/>
      <c r="ZY243" s="2"/>
      <c r="ZZ243" s="2"/>
      <c r="AAA243" s="2"/>
      <c r="AAB243" s="2"/>
      <c r="AAC243" s="2"/>
      <c r="AAD243" s="2"/>
      <c r="AAE243" s="2"/>
      <c r="AAF243" s="2"/>
      <c r="AAG243" s="2"/>
      <c r="AAH243" s="2"/>
      <c r="AAI243" s="2"/>
      <c r="AAJ243" s="2"/>
      <c r="AAK243" s="2"/>
      <c r="AAL243" s="2"/>
      <c r="AAM243" s="2"/>
      <c r="AAN243" s="2"/>
      <c r="AAO243" s="2"/>
      <c r="AAP243" s="2"/>
      <c r="AAQ243" s="2"/>
      <c r="AAR243" s="2"/>
      <c r="AAS243" s="2"/>
      <c r="AAT243" s="2"/>
      <c r="AAU243" s="2"/>
      <c r="AAV243" s="2"/>
      <c r="AAW243" s="2"/>
      <c r="AAX243" s="2"/>
      <c r="AAY243" s="2"/>
      <c r="AAZ243" s="2"/>
      <c r="ABA243" s="2"/>
      <c r="ABB243" s="2"/>
      <c r="ABC243" s="2"/>
      <c r="ABD243" s="2"/>
      <c r="ABE243" s="2"/>
      <c r="ABF243" s="2"/>
      <c r="ABG243" s="2"/>
      <c r="ABH243" s="2"/>
      <c r="ABI243" s="2"/>
      <c r="ABJ243" s="2"/>
      <c r="ABK243" s="2"/>
      <c r="ABL243" s="2"/>
      <c r="ABM243" s="2"/>
      <c r="ABN243" s="2"/>
      <c r="ABO243" s="2"/>
      <c r="ABP243" s="2"/>
      <c r="ABQ243" s="2"/>
      <c r="ABR243" s="2"/>
      <c r="ABS243" s="2"/>
      <c r="ABT243" s="2"/>
      <c r="ABU243" s="2"/>
      <c r="ABV243" s="2"/>
      <c r="ABW243" s="2"/>
      <c r="ABX243" s="2"/>
      <c r="ABY243" s="2"/>
      <c r="ABZ243" s="2"/>
      <c r="ACA243" s="2"/>
      <c r="ACB243" s="2"/>
      <c r="ACC243" s="2"/>
      <c r="ACD243" s="2"/>
      <c r="ACE243" s="2"/>
      <c r="ACF243" s="2"/>
      <c r="ACG243" s="2"/>
      <c r="ACH243" s="2"/>
      <c r="ACI243" s="2"/>
      <c r="ACJ243" s="2"/>
      <c r="ACK243" s="2"/>
      <c r="ACL243" s="2"/>
      <c r="ACM243" s="2"/>
      <c r="ACN243" s="2"/>
      <c r="ACO243" s="2"/>
      <c r="ACP243" s="2"/>
      <c r="ACQ243" s="2"/>
      <c r="ACR243" s="2"/>
      <c r="ACS243" s="2"/>
      <c r="ACT243" s="2"/>
      <c r="ACU243" s="2"/>
      <c r="ACV243" s="2"/>
      <c r="ACW243" s="2"/>
      <c r="ACX243" s="2"/>
      <c r="ACY243" s="2"/>
      <c r="ACZ243" s="2"/>
      <c r="ADA243" s="2"/>
      <c r="ADB243" s="2"/>
      <c r="ADC243" s="2"/>
      <c r="ADD243" s="2"/>
      <c r="ADE243" s="2"/>
      <c r="ADF243" s="2"/>
      <c r="ADG243" s="2"/>
      <c r="ADH243" s="2"/>
      <c r="ADI243" s="2"/>
    </row>
    <row r="244" spans="1:789" s="1" customFormat="1" ht="14.1" customHeight="1" x14ac:dyDescent="0.3">
      <c r="A244" s="150"/>
      <c r="B244" s="115" t="s">
        <v>139</v>
      </c>
      <c r="C244" s="116"/>
      <c r="D244" s="117"/>
      <c r="E244" s="117"/>
      <c r="F244" s="118"/>
      <c r="G244" s="118"/>
      <c r="H244" s="118"/>
      <c r="I244" s="128"/>
      <c r="J244" s="118"/>
      <c r="K244" s="118"/>
      <c r="L244" s="50"/>
      <c r="M244" s="15"/>
      <c r="N244" s="268"/>
      <c r="O244" s="294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2"/>
      <c r="SG244" s="2"/>
      <c r="SH244" s="2"/>
      <c r="SI244" s="2"/>
      <c r="SJ244" s="2"/>
      <c r="SK244" s="2"/>
      <c r="SL244" s="2"/>
      <c r="SM244" s="2"/>
      <c r="SN244" s="2"/>
      <c r="SO244" s="2"/>
      <c r="SP244" s="2"/>
      <c r="SQ244" s="2"/>
      <c r="SR244" s="2"/>
      <c r="SS244" s="2"/>
      <c r="ST244" s="2"/>
      <c r="SU244" s="2"/>
      <c r="SV244" s="2"/>
      <c r="SW244" s="2"/>
      <c r="SX244" s="2"/>
      <c r="SY244" s="2"/>
      <c r="SZ244" s="2"/>
      <c r="TA244" s="2"/>
      <c r="TB244" s="2"/>
      <c r="TC244" s="2"/>
      <c r="TD244" s="2"/>
      <c r="TE244" s="2"/>
      <c r="TF244" s="2"/>
      <c r="TG244" s="2"/>
      <c r="TH244" s="2"/>
      <c r="TI244" s="2"/>
      <c r="TJ244" s="2"/>
      <c r="TK244" s="2"/>
      <c r="TL244" s="2"/>
      <c r="TM244" s="2"/>
      <c r="TN244" s="2"/>
      <c r="TO244" s="2"/>
      <c r="TP244" s="2"/>
      <c r="TQ244" s="2"/>
      <c r="TR244" s="2"/>
      <c r="TS244" s="2"/>
      <c r="TT244" s="2"/>
      <c r="TU244" s="2"/>
      <c r="TV244" s="2"/>
      <c r="TW244" s="2"/>
      <c r="TX244" s="2"/>
      <c r="TY244" s="2"/>
      <c r="TZ244" s="2"/>
      <c r="UA244" s="2"/>
      <c r="UB244" s="2"/>
      <c r="UC244" s="2"/>
      <c r="UD244" s="2"/>
      <c r="UE244" s="2"/>
      <c r="UF244" s="2"/>
      <c r="UG244" s="2"/>
      <c r="UH244" s="2"/>
      <c r="UI244" s="2"/>
      <c r="UJ244" s="2"/>
      <c r="UK244" s="2"/>
      <c r="UL244" s="2"/>
      <c r="UM244" s="2"/>
      <c r="UN244" s="2"/>
      <c r="UO244" s="2"/>
      <c r="UP244" s="2"/>
      <c r="UQ244" s="2"/>
      <c r="UR244" s="2"/>
      <c r="US244" s="2"/>
      <c r="UT244" s="2"/>
      <c r="UU244" s="2"/>
      <c r="UV244" s="2"/>
      <c r="UW244" s="2"/>
      <c r="UX244" s="2"/>
      <c r="UY244" s="2"/>
      <c r="UZ244" s="2"/>
      <c r="VA244" s="2"/>
      <c r="VB244" s="2"/>
      <c r="VC244" s="2"/>
      <c r="VD244" s="2"/>
      <c r="VE244" s="2"/>
      <c r="VF244" s="2"/>
      <c r="VG244" s="2"/>
      <c r="VH244" s="2"/>
      <c r="VI244" s="2"/>
      <c r="VJ244" s="2"/>
      <c r="VK244" s="2"/>
      <c r="VL244" s="2"/>
      <c r="VM244" s="2"/>
      <c r="VN244" s="2"/>
      <c r="VO244" s="2"/>
      <c r="VP244" s="2"/>
      <c r="VQ244" s="2"/>
      <c r="VR244" s="2"/>
      <c r="VS244" s="2"/>
      <c r="VT244" s="2"/>
      <c r="VU244" s="2"/>
      <c r="VV244" s="2"/>
      <c r="VW244" s="2"/>
      <c r="VX244" s="2"/>
      <c r="VY244" s="2"/>
      <c r="VZ244" s="2"/>
      <c r="WA244" s="2"/>
      <c r="WB244" s="2"/>
      <c r="WC244" s="2"/>
      <c r="WD244" s="2"/>
      <c r="WE244" s="2"/>
      <c r="WF244" s="2"/>
      <c r="WG244" s="2"/>
      <c r="WH244" s="2"/>
      <c r="WI244" s="2"/>
      <c r="WJ244" s="2"/>
      <c r="WK244" s="2"/>
      <c r="WL244" s="2"/>
      <c r="WM244" s="2"/>
      <c r="WN244" s="2"/>
      <c r="WO244" s="2"/>
      <c r="WP244" s="2"/>
      <c r="WQ244" s="2"/>
      <c r="WR244" s="2"/>
      <c r="WS244" s="2"/>
      <c r="WT244" s="2"/>
      <c r="WU244" s="2"/>
      <c r="WV244" s="2"/>
      <c r="WW244" s="2"/>
      <c r="WX244" s="2"/>
      <c r="WY244" s="2"/>
      <c r="WZ244" s="2"/>
      <c r="XA244" s="2"/>
      <c r="XB244" s="2"/>
      <c r="XC244" s="2"/>
      <c r="XD244" s="2"/>
      <c r="XE244" s="2"/>
      <c r="XF244" s="2"/>
      <c r="XG244" s="2"/>
      <c r="XH244" s="2"/>
      <c r="XI244" s="2"/>
      <c r="XJ244" s="2"/>
      <c r="XK244" s="2"/>
      <c r="XL244" s="2"/>
      <c r="XM244" s="2"/>
      <c r="XN244" s="2"/>
      <c r="XO244" s="2"/>
      <c r="XP244" s="2"/>
      <c r="XQ244" s="2"/>
      <c r="XR244" s="2"/>
      <c r="XS244" s="2"/>
      <c r="XT244" s="2"/>
      <c r="XU244" s="2"/>
      <c r="XV244" s="2"/>
      <c r="XW244" s="2"/>
      <c r="XX244" s="2"/>
      <c r="XY244" s="2"/>
      <c r="XZ244" s="2"/>
      <c r="YA244" s="2"/>
      <c r="YB244" s="2"/>
      <c r="YC244" s="2"/>
      <c r="YD244" s="2"/>
      <c r="YE244" s="2"/>
      <c r="YF244" s="2"/>
      <c r="YG244" s="2"/>
      <c r="YH244" s="2"/>
      <c r="YI244" s="2"/>
      <c r="YJ244" s="2"/>
      <c r="YK244" s="2"/>
      <c r="YL244" s="2"/>
      <c r="YM244" s="2"/>
      <c r="YN244" s="2"/>
      <c r="YO244" s="2"/>
      <c r="YP244" s="2"/>
      <c r="YQ244" s="2"/>
      <c r="YR244" s="2"/>
      <c r="YS244" s="2"/>
      <c r="YT244" s="2"/>
      <c r="YU244" s="2"/>
      <c r="YV244" s="2"/>
      <c r="YW244" s="2"/>
      <c r="YX244" s="2"/>
      <c r="YY244" s="2"/>
      <c r="YZ244" s="2"/>
      <c r="ZA244" s="2"/>
      <c r="ZB244" s="2"/>
      <c r="ZC244" s="2"/>
      <c r="ZD244" s="2"/>
      <c r="ZE244" s="2"/>
      <c r="ZF244" s="2"/>
      <c r="ZG244" s="2"/>
      <c r="ZH244" s="2"/>
      <c r="ZI244" s="2"/>
      <c r="ZJ244" s="2"/>
      <c r="ZK244" s="2"/>
      <c r="ZL244" s="2"/>
      <c r="ZM244" s="2"/>
      <c r="ZN244" s="2"/>
      <c r="ZO244" s="2"/>
      <c r="ZP244" s="2"/>
      <c r="ZQ244" s="2"/>
      <c r="ZR244" s="2"/>
      <c r="ZS244" s="2"/>
      <c r="ZT244" s="2"/>
      <c r="ZU244" s="2"/>
      <c r="ZV244" s="2"/>
      <c r="ZW244" s="2"/>
      <c r="ZX244" s="2"/>
      <c r="ZY244" s="2"/>
      <c r="ZZ244" s="2"/>
      <c r="AAA244" s="2"/>
      <c r="AAB244" s="2"/>
      <c r="AAC244" s="2"/>
      <c r="AAD244" s="2"/>
      <c r="AAE244" s="2"/>
      <c r="AAF244" s="2"/>
      <c r="AAG244" s="2"/>
      <c r="AAH244" s="2"/>
      <c r="AAI244" s="2"/>
      <c r="AAJ244" s="2"/>
      <c r="AAK244" s="2"/>
      <c r="AAL244" s="2"/>
      <c r="AAM244" s="2"/>
      <c r="AAN244" s="2"/>
      <c r="AAO244" s="2"/>
      <c r="AAP244" s="2"/>
      <c r="AAQ244" s="2"/>
      <c r="AAR244" s="2"/>
      <c r="AAS244" s="2"/>
      <c r="AAT244" s="2"/>
      <c r="AAU244" s="2"/>
      <c r="AAV244" s="2"/>
      <c r="AAW244" s="2"/>
      <c r="AAX244" s="2"/>
      <c r="AAY244" s="2"/>
      <c r="AAZ244" s="2"/>
      <c r="ABA244" s="2"/>
      <c r="ABB244" s="2"/>
      <c r="ABC244" s="2"/>
      <c r="ABD244" s="2"/>
      <c r="ABE244" s="2"/>
      <c r="ABF244" s="2"/>
      <c r="ABG244" s="2"/>
      <c r="ABH244" s="2"/>
      <c r="ABI244" s="2"/>
      <c r="ABJ244" s="2"/>
      <c r="ABK244" s="2"/>
      <c r="ABL244" s="2"/>
      <c r="ABM244" s="2"/>
      <c r="ABN244" s="2"/>
      <c r="ABO244" s="2"/>
      <c r="ABP244" s="2"/>
      <c r="ABQ244" s="2"/>
      <c r="ABR244" s="2"/>
      <c r="ABS244" s="2"/>
      <c r="ABT244" s="2"/>
      <c r="ABU244" s="2"/>
      <c r="ABV244" s="2"/>
      <c r="ABW244" s="2"/>
      <c r="ABX244" s="2"/>
      <c r="ABY244" s="2"/>
      <c r="ABZ244" s="2"/>
      <c r="ACA244" s="2"/>
      <c r="ACB244" s="2"/>
      <c r="ACC244" s="2"/>
      <c r="ACD244" s="2"/>
      <c r="ACE244" s="2"/>
      <c r="ACF244" s="2"/>
      <c r="ACG244" s="2"/>
      <c r="ACH244" s="2"/>
      <c r="ACI244" s="2"/>
      <c r="ACJ244" s="2"/>
      <c r="ACK244" s="2"/>
      <c r="ACL244" s="2"/>
      <c r="ACM244" s="2"/>
      <c r="ACN244" s="2"/>
      <c r="ACO244" s="2"/>
      <c r="ACP244" s="2"/>
      <c r="ACQ244" s="2"/>
      <c r="ACR244" s="2"/>
      <c r="ACS244" s="2"/>
      <c r="ACT244" s="2"/>
      <c r="ACU244" s="2"/>
      <c r="ACV244" s="2"/>
      <c r="ACW244" s="2"/>
      <c r="ACX244" s="2"/>
      <c r="ACY244" s="2"/>
      <c r="ACZ244" s="2"/>
      <c r="ADA244" s="2"/>
      <c r="ADB244" s="2"/>
      <c r="ADC244" s="2"/>
      <c r="ADD244" s="2"/>
      <c r="ADE244" s="2"/>
      <c r="ADF244" s="2"/>
      <c r="ADG244" s="2"/>
      <c r="ADH244" s="2"/>
      <c r="ADI244" s="2"/>
    </row>
    <row r="245" spans="1:789" s="2" customFormat="1" ht="14.1" customHeight="1" x14ac:dyDescent="0.3">
      <c r="A245" s="150"/>
      <c r="B245" s="189" t="s">
        <v>140</v>
      </c>
      <c r="C245" s="119">
        <v>24</v>
      </c>
      <c r="D245" s="120">
        <v>3.5</v>
      </c>
      <c r="E245" s="120">
        <v>3</v>
      </c>
      <c r="F245" s="190"/>
      <c r="G245" s="190">
        <v>0.9</v>
      </c>
      <c r="H245" s="66">
        <f>+PRODUCT(C245:G245)</f>
        <v>226.8</v>
      </c>
      <c r="I245" s="191" t="s">
        <v>22</v>
      </c>
      <c r="J245" s="190"/>
      <c r="K245" s="190">
        <f>C245*D245*E245*G245</f>
        <v>226.8</v>
      </c>
      <c r="L245" s="48"/>
      <c r="M245" s="3"/>
      <c r="N245" s="268"/>
      <c r="O245" s="294"/>
    </row>
    <row r="246" spans="1:789" s="1" customFormat="1" ht="14.1" customHeight="1" x14ac:dyDescent="0.3">
      <c r="A246" s="241"/>
      <c r="B246" s="121"/>
      <c r="C246" s="122"/>
      <c r="D246" s="123"/>
      <c r="E246" s="123"/>
      <c r="F246" s="124"/>
      <c r="G246" s="124"/>
      <c r="H246" s="124"/>
      <c r="I246" s="125" t="s">
        <v>22</v>
      </c>
      <c r="J246" s="124"/>
      <c r="K246" s="126">
        <f>SUM(K245:K245)</f>
        <v>226.8</v>
      </c>
      <c r="L246" s="26">
        <v>8</v>
      </c>
      <c r="M246" s="148">
        <f t="shared" ref="M246" si="123">K246*L246</f>
        <v>1814.4</v>
      </c>
      <c r="N246" s="268"/>
      <c r="O246" s="294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2"/>
      <c r="QL246" s="2"/>
      <c r="QM246" s="2"/>
      <c r="QN246" s="2"/>
      <c r="QO246" s="2"/>
      <c r="QP246" s="2"/>
      <c r="QQ246" s="2"/>
      <c r="QR246" s="2"/>
      <c r="QS246" s="2"/>
      <c r="QT246" s="2"/>
      <c r="QU246" s="2"/>
      <c r="QV246" s="2"/>
      <c r="QW246" s="2"/>
      <c r="QX246" s="2"/>
      <c r="QY246" s="2"/>
      <c r="QZ246" s="2"/>
      <c r="RA246" s="2"/>
      <c r="RB246" s="2"/>
      <c r="RC246" s="2"/>
      <c r="RD246" s="2"/>
      <c r="RE246" s="2"/>
      <c r="RF246" s="2"/>
      <c r="RG246" s="2"/>
      <c r="RH246" s="2"/>
      <c r="RI246" s="2"/>
      <c r="RJ246" s="2"/>
      <c r="RK246" s="2"/>
      <c r="RL246" s="2"/>
      <c r="RM246" s="2"/>
      <c r="RN246" s="2"/>
      <c r="RO246" s="2"/>
      <c r="RP246" s="2"/>
      <c r="RQ246" s="2"/>
      <c r="RR246" s="2"/>
      <c r="RS246" s="2"/>
      <c r="RT246" s="2"/>
      <c r="RU246" s="2"/>
      <c r="RV246" s="2"/>
      <c r="RW246" s="2"/>
      <c r="RX246" s="2"/>
      <c r="RY246" s="2"/>
      <c r="RZ246" s="2"/>
      <c r="SA246" s="2"/>
      <c r="SB246" s="2"/>
      <c r="SC246" s="2"/>
      <c r="SD246" s="2"/>
      <c r="SE246" s="2"/>
      <c r="SF246" s="2"/>
      <c r="SG246" s="2"/>
      <c r="SH246" s="2"/>
      <c r="SI246" s="2"/>
      <c r="SJ246" s="2"/>
      <c r="SK246" s="2"/>
      <c r="SL246" s="2"/>
      <c r="SM246" s="2"/>
      <c r="SN246" s="2"/>
      <c r="SO246" s="2"/>
      <c r="SP246" s="2"/>
      <c r="SQ246" s="2"/>
      <c r="SR246" s="2"/>
      <c r="SS246" s="2"/>
      <c r="ST246" s="2"/>
      <c r="SU246" s="2"/>
      <c r="SV246" s="2"/>
      <c r="SW246" s="2"/>
      <c r="SX246" s="2"/>
      <c r="SY246" s="2"/>
      <c r="SZ246" s="2"/>
      <c r="TA246" s="2"/>
      <c r="TB246" s="2"/>
      <c r="TC246" s="2"/>
      <c r="TD246" s="2"/>
      <c r="TE246" s="2"/>
      <c r="TF246" s="2"/>
      <c r="TG246" s="2"/>
      <c r="TH246" s="2"/>
      <c r="TI246" s="2"/>
      <c r="TJ246" s="2"/>
      <c r="TK246" s="2"/>
      <c r="TL246" s="2"/>
      <c r="TM246" s="2"/>
      <c r="TN246" s="2"/>
      <c r="TO246" s="2"/>
      <c r="TP246" s="2"/>
      <c r="TQ246" s="2"/>
      <c r="TR246" s="2"/>
      <c r="TS246" s="2"/>
      <c r="TT246" s="2"/>
      <c r="TU246" s="2"/>
      <c r="TV246" s="2"/>
      <c r="TW246" s="2"/>
      <c r="TX246" s="2"/>
      <c r="TY246" s="2"/>
      <c r="TZ246" s="2"/>
      <c r="UA246" s="2"/>
      <c r="UB246" s="2"/>
      <c r="UC246" s="2"/>
      <c r="UD246" s="2"/>
      <c r="UE246" s="2"/>
      <c r="UF246" s="2"/>
      <c r="UG246" s="2"/>
      <c r="UH246" s="2"/>
      <c r="UI246" s="2"/>
      <c r="UJ246" s="2"/>
      <c r="UK246" s="2"/>
      <c r="UL246" s="2"/>
      <c r="UM246" s="2"/>
      <c r="UN246" s="2"/>
      <c r="UO246" s="2"/>
      <c r="UP246" s="2"/>
      <c r="UQ246" s="2"/>
      <c r="UR246" s="2"/>
      <c r="US246" s="2"/>
      <c r="UT246" s="2"/>
      <c r="UU246" s="2"/>
      <c r="UV246" s="2"/>
      <c r="UW246" s="2"/>
      <c r="UX246" s="2"/>
      <c r="UY246" s="2"/>
      <c r="UZ246" s="2"/>
      <c r="VA246" s="2"/>
      <c r="VB246" s="2"/>
      <c r="VC246" s="2"/>
      <c r="VD246" s="2"/>
      <c r="VE246" s="2"/>
      <c r="VF246" s="2"/>
      <c r="VG246" s="2"/>
      <c r="VH246" s="2"/>
      <c r="VI246" s="2"/>
      <c r="VJ246" s="2"/>
      <c r="VK246" s="2"/>
      <c r="VL246" s="2"/>
      <c r="VM246" s="2"/>
      <c r="VN246" s="2"/>
      <c r="VO246" s="2"/>
      <c r="VP246" s="2"/>
      <c r="VQ246" s="2"/>
      <c r="VR246" s="2"/>
      <c r="VS246" s="2"/>
      <c r="VT246" s="2"/>
      <c r="VU246" s="2"/>
      <c r="VV246" s="2"/>
      <c r="VW246" s="2"/>
      <c r="VX246" s="2"/>
      <c r="VY246" s="2"/>
      <c r="VZ246" s="2"/>
      <c r="WA246" s="2"/>
      <c r="WB246" s="2"/>
      <c r="WC246" s="2"/>
      <c r="WD246" s="2"/>
      <c r="WE246" s="2"/>
      <c r="WF246" s="2"/>
      <c r="WG246" s="2"/>
      <c r="WH246" s="2"/>
      <c r="WI246" s="2"/>
      <c r="WJ246" s="2"/>
      <c r="WK246" s="2"/>
      <c r="WL246" s="2"/>
      <c r="WM246" s="2"/>
      <c r="WN246" s="2"/>
      <c r="WO246" s="2"/>
      <c r="WP246" s="2"/>
      <c r="WQ246" s="2"/>
      <c r="WR246" s="2"/>
      <c r="WS246" s="2"/>
      <c r="WT246" s="2"/>
      <c r="WU246" s="2"/>
      <c r="WV246" s="2"/>
      <c r="WW246" s="2"/>
      <c r="WX246" s="2"/>
      <c r="WY246" s="2"/>
      <c r="WZ246" s="2"/>
      <c r="XA246" s="2"/>
      <c r="XB246" s="2"/>
      <c r="XC246" s="2"/>
      <c r="XD246" s="2"/>
      <c r="XE246" s="2"/>
      <c r="XF246" s="2"/>
      <c r="XG246" s="2"/>
      <c r="XH246" s="2"/>
      <c r="XI246" s="2"/>
      <c r="XJ246" s="2"/>
      <c r="XK246" s="2"/>
      <c r="XL246" s="2"/>
      <c r="XM246" s="2"/>
      <c r="XN246" s="2"/>
      <c r="XO246" s="2"/>
      <c r="XP246" s="2"/>
      <c r="XQ246" s="2"/>
      <c r="XR246" s="2"/>
      <c r="XS246" s="2"/>
      <c r="XT246" s="2"/>
      <c r="XU246" s="2"/>
      <c r="XV246" s="2"/>
      <c r="XW246" s="2"/>
      <c r="XX246" s="2"/>
      <c r="XY246" s="2"/>
      <c r="XZ246" s="2"/>
      <c r="YA246" s="2"/>
      <c r="YB246" s="2"/>
      <c r="YC246" s="2"/>
      <c r="YD246" s="2"/>
      <c r="YE246" s="2"/>
      <c r="YF246" s="2"/>
      <c r="YG246" s="2"/>
      <c r="YH246" s="2"/>
      <c r="YI246" s="2"/>
      <c r="YJ246" s="2"/>
      <c r="YK246" s="2"/>
      <c r="YL246" s="2"/>
      <c r="YM246" s="2"/>
      <c r="YN246" s="2"/>
      <c r="YO246" s="2"/>
      <c r="YP246" s="2"/>
      <c r="YQ246" s="2"/>
      <c r="YR246" s="2"/>
      <c r="YS246" s="2"/>
      <c r="YT246" s="2"/>
      <c r="YU246" s="2"/>
      <c r="YV246" s="2"/>
      <c r="YW246" s="2"/>
      <c r="YX246" s="2"/>
      <c r="YY246" s="2"/>
      <c r="YZ246" s="2"/>
      <c r="ZA246" s="2"/>
      <c r="ZB246" s="2"/>
      <c r="ZC246" s="2"/>
      <c r="ZD246" s="2"/>
      <c r="ZE246" s="2"/>
      <c r="ZF246" s="2"/>
      <c r="ZG246" s="2"/>
      <c r="ZH246" s="2"/>
      <c r="ZI246" s="2"/>
      <c r="ZJ246" s="2"/>
      <c r="ZK246" s="2"/>
      <c r="ZL246" s="2"/>
      <c r="ZM246" s="2"/>
      <c r="ZN246" s="2"/>
      <c r="ZO246" s="2"/>
      <c r="ZP246" s="2"/>
      <c r="ZQ246" s="2"/>
      <c r="ZR246" s="2"/>
      <c r="ZS246" s="2"/>
      <c r="ZT246" s="2"/>
      <c r="ZU246" s="2"/>
      <c r="ZV246" s="2"/>
      <c r="ZW246" s="2"/>
      <c r="ZX246" s="2"/>
      <c r="ZY246" s="2"/>
      <c r="ZZ246" s="2"/>
      <c r="AAA246" s="2"/>
      <c r="AAB246" s="2"/>
      <c r="AAC246" s="2"/>
      <c r="AAD246" s="2"/>
      <c r="AAE246" s="2"/>
      <c r="AAF246" s="2"/>
      <c r="AAG246" s="2"/>
      <c r="AAH246" s="2"/>
      <c r="AAI246" s="2"/>
      <c r="AAJ246" s="2"/>
      <c r="AAK246" s="2"/>
      <c r="AAL246" s="2"/>
      <c r="AAM246" s="2"/>
      <c r="AAN246" s="2"/>
      <c r="AAO246" s="2"/>
      <c r="AAP246" s="2"/>
      <c r="AAQ246" s="2"/>
      <c r="AAR246" s="2"/>
      <c r="AAS246" s="2"/>
      <c r="AAT246" s="2"/>
      <c r="AAU246" s="2"/>
      <c r="AAV246" s="2"/>
      <c r="AAW246" s="2"/>
      <c r="AAX246" s="2"/>
      <c r="AAY246" s="2"/>
      <c r="AAZ246" s="2"/>
      <c r="ABA246" s="2"/>
      <c r="ABB246" s="2"/>
      <c r="ABC246" s="2"/>
      <c r="ABD246" s="2"/>
      <c r="ABE246" s="2"/>
      <c r="ABF246" s="2"/>
      <c r="ABG246" s="2"/>
      <c r="ABH246" s="2"/>
      <c r="ABI246" s="2"/>
      <c r="ABJ246" s="2"/>
      <c r="ABK246" s="2"/>
      <c r="ABL246" s="2"/>
      <c r="ABM246" s="2"/>
      <c r="ABN246" s="2"/>
      <c r="ABO246" s="2"/>
      <c r="ABP246" s="2"/>
      <c r="ABQ246" s="2"/>
      <c r="ABR246" s="2"/>
      <c r="ABS246" s="2"/>
      <c r="ABT246" s="2"/>
      <c r="ABU246" s="2"/>
      <c r="ABV246" s="2"/>
      <c r="ABW246" s="2"/>
      <c r="ABX246" s="2"/>
      <c r="ABY246" s="2"/>
      <c r="ABZ246" s="2"/>
      <c r="ACA246" s="2"/>
      <c r="ACB246" s="2"/>
      <c r="ACC246" s="2"/>
      <c r="ACD246" s="2"/>
      <c r="ACE246" s="2"/>
      <c r="ACF246" s="2"/>
      <c r="ACG246" s="2"/>
      <c r="ACH246" s="2"/>
      <c r="ACI246" s="2"/>
      <c r="ACJ246" s="2"/>
      <c r="ACK246" s="2"/>
      <c r="ACL246" s="2"/>
      <c r="ACM246" s="2"/>
      <c r="ACN246" s="2"/>
      <c r="ACO246" s="2"/>
      <c r="ACP246" s="2"/>
      <c r="ACQ246" s="2"/>
      <c r="ACR246" s="2"/>
      <c r="ACS246" s="2"/>
      <c r="ACT246" s="2"/>
      <c r="ACU246" s="2"/>
      <c r="ACV246" s="2"/>
      <c r="ACW246" s="2"/>
      <c r="ACX246" s="2"/>
      <c r="ACY246" s="2"/>
      <c r="ACZ246" s="2"/>
      <c r="ADA246" s="2"/>
      <c r="ADB246" s="2"/>
      <c r="ADC246" s="2"/>
      <c r="ADD246" s="2"/>
      <c r="ADE246" s="2"/>
      <c r="ADF246" s="2"/>
      <c r="ADG246" s="2"/>
      <c r="ADH246" s="2"/>
      <c r="ADI246" s="2"/>
    </row>
    <row r="247" spans="1:789" s="2" customFormat="1" ht="15" customHeight="1" x14ac:dyDescent="0.3">
      <c r="A247" s="131"/>
      <c r="B247" s="132"/>
      <c r="C247" s="119"/>
      <c r="D247" s="120"/>
      <c r="E247" s="120"/>
      <c r="F247" s="120"/>
      <c r="G247" s="120"/>
      <c r="H247" s="120"/>
      <c r="I247" s="133"/>
      <c r="J247" s="120"/>
      <c r="K247" s="134"/>
      <c r="L247" s="48"/>
      <c r="M247" s="16"/>
      <c r="N247" s="268"/>
      <c r="O247" s="294"/>
    </row>
    <row r="248" spans="1:789" s="2" customFormat="1" ht="21.75" customHeight="1" x14ac:dyDescent="0.3">
      <c r="A248" s="131"/>
      <c r="B248" s="135" t="s">
        <v>141</v>
      </c>
      <c r="C248" s="119"/>
      <c r="D248" s="120"/>
      <c r="E248" s="120"/>
      <c r="F248" s="120"/>
      <c r="G248" s="120"/>
      <c r="H248" s="120"/>
      <c r="I248" s="133"/>
      <c r="J248" s="120"/>
      <c r="K248" s="134"/>
      <c r="L248" s="48"/>
      <c r="M248" s="16"/>
      <c r="N248" s="268"/>
      <c r="O248" s="294"/>
    </row>
    <row r="249" spans="1:789" s="2" customFormat="1" ht="13.2" x14ac:dyDescent="0.3">
      <c r="A249" s="131"/>
      <c r="B249" s="207" t="s">
        <v>142</v>
      </c>
      <c r="C249" s="119"/>
      <c r="D249" s="120">
        <v>180</v>
      </c>
      <c r="E249" s="120">
        <v>1.5</v>
      </c>
      <c r="F249" s="120"/>
      <c r="G249" s="120">
        <v>1.8</v>
      </c>
      <c r="H249" s="120"/>
      <c r="I249" s="191" t="s">
        <v>22</v>
      </c>
      <c r="J249" s="120"/>
      <c r="K249" s="134">
        <f>D249*E249*G249</f>
        <v>486</v>
      </c>
      <c r="L249" s="208">
        <v>11</v>
      </c>
      <c r="M249" s="16">
        <f>K249*L249</f>
        <v>5346</v>
      </c>
      <c r="N249" s="268"/>
      <c r="O249" s="294"/>
    </row>
    <row r="250" spans="1:789" s="2" customFormat="1" ht="15" customHeight="1" thickBot="1" x14ac:dyDescent="0.35">
      <c r="A250" s="136"/>
      <c r="B250" s="137"/>
      <c r="C250" s="138"/>
      <c r="D250" s="139"/>
      <c r="E250" s="139"/>
      <c r="F250" s="139"/>
      <c r="G250" s="139"/>
      <c r="H250" s="139"/>
      <c r="I250" s="140"/>
      <c r="J250" s="139"/>
      <c r="K250" s="141"/>
      <c r="L250" s="51"/>
      <c r="M250" s="22"/>
      <c r="N250" s="268"/>
      <c r="O250" s="294"/>
    </row>
    <row r="251" spans="1:789" s="2" customFormat="1" ht="15" customHeight="1" thickBot="1" x14ac:dyDescent="0.35">
      <c r="A251" s="142" t="s">
        <v>133</v>
      </c>
      <c r="B251" s="143" t="s">
        <v>143</v>
      </c>
      <c r="C251" s="144"/>
      <c r="D251" s="145"/>
      <c r="E251" s="145"/>
      <c r="F251" s="145"/>
      <c r="G251" s="145"/>
      <c r="H251" s="145"/>
      <c r="I251" s="145"/>
      <c r="J251" s="145"/>
      <c r="K251" s="146"/>
      <c r="L251" s="52"/>
      <c r="M251" s="17">
        <f>+M246+M249+M237+M242</f>
        <v>42231.57</v>
      </c>
      <c r="N251" s="268"/>
      <c r="O251" s="296" t="s">
        <v>218</v>
      </c>
    </row>
    <row r="252" spans="1:789" s="2" customFormat="1" ht="18.75" customHeight="1" thickBot="1" x14ac:dyDescent="0.35">
      <c r="A252" s="142"/>
      <c r="B252" s="147" t="s">
        <v>144</v>
      </c>
      <c r="C252" s="144"/>
      <c r="D252" s="145"/>
      <c r="E252" s="145"/>
      <c r="F252" s="145"/>
      <c r="G252" s="145"/>
      <c r="H252" s="145"/>
      <c r="I252" s="145"/>
      <c r="J252" s="145"/>
      <c r="K252" s="146"/>
      <c r="L252" s="53"/>
      <c r="M252" s="280">
        <f>M229+M251</f>
        <v>547544.73433000001</v>
      </c>
      <c r="N252" s="268"/>
      <c r="O252" s="280">
        <v>880338.11</v>
      </c>
    </row>
    <row r="254" spans="1:789" x14ac:dyDescent="0.3">
      <c r="F254" s="281" t="s">
        <v>212</v>
      </c>
      <c r="K254" s="282" t="s">
        <v>213</v>
      </c>
      <c r="L254" s="283">
        <v>-0.08</v>
      </c>
      <c r="M254" s="284">
        <f>M252*L254</f>
        <v>-43803.578746400002</v>
      </c>
      <c r="O254" s="298">
        <f>O252*L254</f>
        <v>-70427.048800000004</v>
      </c>
    </row>
    <row r="255" spans="1:789" x14ac:dyDescent="0.3">
      <c r="F255" s="281" t="s">
        <v>214</v>
      </c>
      <c r="K255" s="223"/>
      <c r="L255" s="285"/>
      <c r="M255" s="223"/>
      <c r="O255" s="299"/>
    </row>
    <row r="256" spans="1:789" x14ac:dyDescent="0.3">
      <c r="B256" s="223"/>
      <c r="F256" s="281" t="s">
        <v>215</v>
      </c>
      <c r="K256" s="223" t="s">
        <v>216</v>
      </c>
      <c r="L256" s="285"/>
      <c r="M256" s="286">
        <f>M254+M252</f>
        <v>503741.15558359999</v>
      </c>
      <c r="O256" s="299">
        <f>SUM(O252:O255)</f>
        <v>809911.0612</v>
      </c>
    </row>
    <row r="257" spans="2:15" x14ac:dyDescent="0.3">
      <c r="B257" s="223"/>
      <c r="K257" s="223"/>
      <c r="L257" s="285"/>
      <c r="M257" s="223"/>
      <c r="O257" s="299"/>
    </row>
    <row r="258" spans="2:15" x14ac:dyDescent="0.3">
      <c r="K258" s="282" t="s">
        <v>213</v>
      </c>
      <c r="L258" s="283">
        <v>-8.5000000000000006E-2</v>
      </c>
      <c r="M258" s="284">
        <f>M256*L258</f>
        <v>-42817.998224606003</v>
      </c>
      <c r="O258" s="298">
        <f>O256*L258</f>
        <v>-68842.440201999998</v>
      </c>
    </row>
    <row r="259" spans="2:15" x14ac:dyDescent="0.3">
      <c r="K259" s="223"/>
      <c r="L259" s="287"/>
      <c r="M259" s="286"/>
      <c r="O259" s="299"/>
    </row>
    <row r="260" spans="2:15" x14ac:dyDescent="0.3">
      <c r="B260" s="223"/>
      <c r="K260" s="223" t="s">
        <v>217</v>
      </c>
      <c r="L260" s="285"/>
      <c r="M260" s="286">
        <f>M258+M256</f>
        <v>460923.15735899401</v>
      </c>
      <c r="O260" s="299">
        <f>SUM(O256:O259)</f>
        <v>741068.62099800003</v>
      </c>
    </row>
    <row r="261" spans="2:15" ht="15" thickBot="1" x14ac:dyDescent="0.35">
      <c r="B261" s="223"/>
    </row>
    <row r="262" spans="2:15" ht="15" thickBot="1" x14ac:dyDescent="0.35">
      <c r="B262" s="223"/>
      <c r="M262" s="535">
        <f>M260+O260</f>
        <v>1201991.778356994</v>
      </c>
      <c r="N262" s="536"/>
      <c r="O262" s="537"/>
    </row>
    <row r="263" spans="2:15" x14ac:dyDescent="0.3">
      <c r="M263" s="297"/>
    </row>
    <row r="264" spans="2:15" x14ac:dyDescent="0.3">
      <c r="N264" s="271"/>
    </row>
    <row r="265" spans="2:15" x14ac:dyDescent="0.3">
      <c r="M265" s="297"/>
    </row>
  </sheetData>
  <protectedRanges>
    <protectedRange sqref="L78:L82 L10 L28 L222:L225 L227:L228" name="Intervallo2"/>
    <protectedRange sqref="L250 L233:L248" name="Intervallo1_2"/>
    <protectedRange sqref="L13:L27 L32:L77" name="Intervallo2_7"/>
    <protectedRange sqref="L221" name="Intervallo2_14"/>
    <protectedRange sqref="L249" name="Intervallo1_2_1"/>
  </protectedRanges>
  <mergeCells count="3">
    <mergeCell ref="B7:B8"/>
    <mergeCell ref="P115:R115"/>
    <mergeCell ref="M262:O262"/>
  </mergeCells>
  <pageMargins left="0.7" right="0.7" top="0.75" bottom="0.75" header="0.3" footer="0.3"/>
  <pageSetup paperSize="8" scale="7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1DBA-2774-4875-BF79-705B238950B4}">
  <sheetPr>
    <pageSetUpPr fitToPage="1"/>
  </sheetPr>
  <dimension ref="A1:ADJ264"/>
  <sheetViews>
    <sheetView topLeftCell="I1" zoomScale="72" zoomScaleNormal="72" workbookViewId="0">
      <pane ySplit="8" topLeftCell="A133" activePane="bottomLeft" state="frozen"/>
      <selection pane="bottomLeft" activeCell="M157" sqref="M157"/>
    </sheetView>
  </sheetViews>
  <sheetFormatPr defaultColWidth="9.109375" defaultRowHeight="14.4" x14ac:dyDescent="0.3"/>
  <cols>
    <col min="1" max="1" width="9.109375" style="6"/>
    <col min="2" max="2" width="95.77734375" style="582" bestFit="1" customWidth="1"/>
    <col min="3" max="5" width="9.21875" style="6" hidden="1" customWidth="1"/>
    <col min="6" max="6" width="10.33203125" style="6" hidden="1" customWidth="1"/>
    <col min="7" max="7" width="9.21875" style="6" hidden="1" customWidth="1"/>
    <col min="8" max="8" width="9.5546875" style="6" hidden="1" customWidth="1"/>
    <col min="9" max="9" width="9.109375" style="18"/>
    <col min="10" max="10" width="11.21875" style="6" customWidth="1"/>
    <col min="11" max="11" width="15.6640625" style="23" customWidth="1"/>
    <col min="12" max="12" width="18.77734375" style="6" bestFit="1" customWidth="1"/>
    <col min="13" max="13" width="18.33203125" style="270" bestFit="1" customWidth="1"/>
    <col min="14" max="14" width="18.21875" style="270" customWidth="1"/>
    <col min="15" max="15" width="32.5546875" style="270" hidden="1" customWidth="1"/>
    <col min="16" max="16" width="14" style="291" hidden="1" customWidth="1"/>
    <col min="17" max="17" width="37.109375" style="282" bestFit="1" customWidth="1"/>
    <col min="18" max="18" width="12.5546875" style="478" customWidth="1"/>
    <col min="19" max="19" width="11.88671875" style="507" bestFit="1" customWidth="1"/>
    <col min="20" max="20" width="14.109375" style="507" bestFit="1" customWidth="1"/>
    <col min="21" max="21" width="10.6640625" style="478" bestFit="1" customWidth="1"/>
    <col min="22" max="22" width="13.88671875" style="507" bestFit="1" customWidth="1"/>
    <col min="23" max="23" width="15.109375" style="507" bestFit="1" customWidth="1"/>
    <col min="24" max="24" width="11.6640625" style="507" bestFit="1" customWidth="1"/>
    <col min="25" max="25" width="13.33203125" style="507" bestFit="1" customWidth="1"/>
    <col min="26" max="26" width="10.21875" style="478" bestFit="1" customWidth="1"/>
    <col min="27" max="28" width="15.109375" style="471" bestFit="1" customWidth="1"/>
    <col min="29" max="29" width="9.44140625" style="471" bestFit="1" customWidth="1"/>
    <col min="30" max="16384" width="9.109375" style="6"/>
  </cols>
  <sheetData>
    <row r="1" spans="1:790" s="291" customFormat="1" ht="15.6" x14ac:dyDescent="0.3">
      <c r="A1" s="300"/>
      <c r="B1" s="301"/>
      <c r="C1" s="302"/>
      <c r="D1" s="303"/>
      <c r="E1" s="304"/>
      <c r="F1" s="304"/>
      <c r="G1" s="304"/>
      <c r="H1" s="304"/>
      <c r="I1" s="305"/>
      <c r="J1" s="304"/>
      <c r="K1" s="306"/>
      <c r="L1" s="307"/>
      <c r="M1" s="522"/>
      <c r="N1" s="522"/>
      <c r="O1" s="308"/>
      <c r="P1" s="523"/>
      <c r="Q1" s="522"/>
      <c r="R1" s="478"/>
      <c r="S1" s="507"/>
      <c r="T1" s="507"/>
      <c r="U1" s="478"/>
      <c r="V1" s="507"/>
      <c r="W1" s="507"/>
      <c r="X1" s="507"/>
      <c r="Y1" s="507"/>
      <c r="Z1" s="478"/>
      <c r="AA1" s="471"/>
      <c r="AB1" s="471"/>
      <c r="AC1" s="471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</row>
    <row r="2" spans="1:790" s="291" customFormat="1" ht="15.6" x14ac:dyDescent="0.3">
      <c r="A2" s="309" t="s">
        <v>0</v>
      </c>
      <c r="B2" s="310">
        <v>45800</v>
      </c>
      <c r="C2" s="311"/>
      <c r="D2" s="312"/>
      <c r="E2" s="312"/>
      <c r="F2" s="312"/>
      <c r="G2" s="312"/>
      <c r="H2" s="312"/>
      <c r="I2" s="313"/>
      <c r="J2" s="312"/>
      <c r="K2" s="314"/>
      <c r="L2" s="315"/>
      <c r="M2" s="522"/>
      <c r="N2" s="522"/>
      <c r="O2" s="308"/>
      <c r="P2" s="523"/>
      <c r="Q2" s="522"/>
      <c r="R2" s="478"/>
      <c r="S2" s="507"/>
      <c r="T2" s="507"/>
      <c r="U2" s="478"/>
      <c r="V2" s="507"/>
      <c r="W2" s="507"/>
      <c r="X2" s="507"/>
      <c r="Y2" s="507"/>
      <c r="Z2" s="478"/>
      <c r="AA2" s="471"/>
      <c r="AB2" s="471"/>
      <c r="AC2" s="471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</row>
    <row r="3" spans="1:790" s="291" customFormat="1" ht="15.6" x14ac:dyDescent="0.3">
      <c r="A3" s="309" t="s">
        <v>1</v>
      </c>
      <c r="B3" s="316" t="s">
        <v>2</v>
      </c>
      <c r="C3" s="311"/>
      <c r="D3" s="312"/>
      <c r="E3" s="312"/>
      <c r="F3" s="312"/>
      <c r="G3" s="312"/>
      <c r="H3" s="312"/>
      <c r="I3" s="313"/>
      <c r="J3" s="312"/>
      <c r="K3" s="314"/>
      <c r="L3" s="315"/>
      <c r="M3" s="522"/>
      <c r="N3" s="522"/>
      <c r="O3" s="308"/>
      <c r="P3" s="523"/>
      <c r="Q3" s="522"/>
      <c r="R3" s="478"/>
      <c r="S3" s="507"/>
      <c r="T3" s="507"/>
      <c r="U3" s="478"/>
      <c r="V3" s="507"/>
      <c r="W3" s="507"/>
      <c r="X3" s="507"/>
      <c r="Y3" s="507"/>
      <c r="Z3" s="478"/>
      <c r="AA3" s="471"/>
      <c r="AB3" s="471"/>
      <c r="AC3" s="471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</row>
    <row r="4" spans="1:790" s="291" customFormat="1" ht="15.6" x14ac:dyDescent="0.3">
      <c r="A4" s="309" t="s">
        <v>3</v>
      </c>
      <c r="B4" s="316" t="s">
        <v>4</v>
      </c>
      <c r="C4" s="311"/>
      <c r="D4" s="312"/>
      <c r="E4" s="312"/>
      <c r="F4" s="312"/>
      <c r="G4" s="312"/>
      <c r="H4" s="312"/>
      <c r="I4" s="313"/>
      <c r="J4" s="312"/>
      <c r="K4" s="314"/>
      <c r="L4" s="315"/>
      <c r="M4" s="522"/>
      <c r="N4" s="522"/>
      <c r="O4" s="308"/>
      <c r="P4" s="523"/>
      <c r="Q4" s="522"/>
      <c r="R4" s="478"/>
      <c r="S4" s="507"/>
      <c r="T4" s="507"/>
      <c r="U4" s="478"/>
      <c r="V4" s="507"/>
      <c r="W4" s="507"/>
      <c r="X4" s="507"/>
      <c r="Y4" s="507"/>
      <c r="Z4" s="478"/>
      <c r="AA4" s="471"/>
      <c r="AB4" s="471"/>
      <c r="AC4" s="471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</row>
    <row r="5" spans="1:790" s="291" customFormat="1" ht="16.2" thickBot="1" x14ac:dyDescent="0.35">
      <c r="A5" s="309" t="s">
        <v>5</v>
      </c>
      <c r="B5" s="317" t="s">
        <v>6</v>
      </c>
      <c r="C5" s="311"/>
      <c r="D5" s="318"/>
      <c r="E5" s="318"/>
      <c r="F5" s="318"/>
      <c r="G5" s="318"/>
      <c r="H5" s="318"/>
      <c r="I5" s="313"/>
      <c r="J5" s="318"/>
      <c r="K5" s="314"/>
      <c r="L5" s="315"/>
      <c r="M5" s="522"/>
      <c r="N5" s="522"/>
      <c r="O5" s="308"/>
      <c r="P5" s="523"/>
      <c r="Q5" s="522"/>
      <c r="R5" s="478"/>
      <c r="S5" s="507"/>
      <c r="T5" s="507"/>
      <c r="U5" s="478"/>
      <c r="V5" s="507"/>
      <c r="W5" s="507"/>
      <c r="X5" s="507"/>
      <c r="Y5" s="507"/>
      <c r="Z5" s="478"/>
      <c r="AA5" s="471"/>
      <c r="AB5" s="471"/>
      <c r="AC5" s="471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</row>
    <row r="6" spans="1:790" s="291" customFormat="1" ht="16.2" thickBot="1" x14ac:dyDescent="0.35">
      <c r="A6" s="319"/>
      <c r="B6" s="320"/>
      <c r="C6" s="321"/>
      <c r="D6" s="322"/>
      <c r="E6" s="322"/>
      <c r="F6" s="322"/>
      <c r="G6" s="322"/>
      <c r="H6" s="322"/>
      <c r="I6" s="323"/>
      <c r="J6" s="322"/>
      <c r="K6" s="324"/>
      <c r="L6" s="325"/>
      <c r="M6" s="522"/>
      <c r="N6" s="522"/>
      <c r="O6" s="308"/>
      <c r="P6" s="523"/>
      <c r="Q6" s="522"/>
      <c r="R6" s="542" t="s">
        <v>219</v>
      </c>
      <c r="S6" s="543"/>
      <c r="T6" s="544"/>
      <c r="U6" s="545" t="s">
        <v>220</v>
      </c>
      <c r="V6" s="546"/>
      <c r="W6" s="547"/>
      <c r="X6" s="507"/>
      <c r="Y6" s="507"/>
      <c r="Z6" s="478"/>
      <c r="AA6" s="471"/>
      <c r="AB6" s="471"/>
      <c r="AC6" s="471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</row>
    <row r="7" spans="1:790" s="291" customFormat="1" x14ac:dyDescent="0.3">
      <c r="A7" s="538" t="s">
        <v>7</v>
      </c>
      <c r="B7" s="552" t="s">
        <v>8</v>
      </c>
      <c r="C7" s="327" t="s">
        <v>145</v>
      </c>
      <c r="D7" s="326" t="s">
        <v>9</v>
      </c>
      <c r="E7" s="326" t="s">
        <v>10</v>
      </c>
      <c r="F7" s="326" t="s">
        <v>232</v>
      </c>
      <c r="G7" s="326" t="s">
        <v>12</v>
      </c>
      <c r="H7" s="326" t="s">
        <v>13</v>
      </c>
      <c r="I7" s="552" t="s">
        <v>231</v>
      </c>
      <c r="J7" s="552" t="s">
        <v>221</v>
      </c>
      <c r="K7" s="328" t="s">
        <v>16</v>
      </c>
      <c r="L7" s="329" t="s">
        <v>17</v>
      </c>
      <c r="M7" s="555" t="s">
        <v>226</v>
      </c>
      <c r="N7" s="557" t="s">
        <v>230</v>
      </c>
      <c r="O7" s="474"/>
      <c r="P7" s="475"/>
      <c r="Q7" s="550" t="s">
        <v>229</v>
      </c>
      <c r="R7" s="483" t="s">
        <v>221</v>
      </c>
      <c r="S7" s="540" t="s">
        <v>16</v>
      </c>
      <c r="T7" s="548" t="s">
        <v>222</v>
      </c>
      <c r="U7" s="476" t="s">
        <v>221</v>
      </c>
      <c r="V7" s="540" t="s">
        <v>16</v>
      </c>
      <c r="W7" s="548" t="s">
        <v>222</v>
      </c>
      <c r="X7" s="507"/>
      <c r="Y7" s="507"/>
      <c r="Z7" s="478"/>
      <c r="AA7" s="471"/>
      <c r="AB7" s="471"/>
      <c r="AC7" s="471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</row>
    <row r="8" spans="1:790" s="291" customFormat="1" ht="15" thickBot="1" x14ac:dyDescent="0.35">
      <c r="A8" s="539"/>
      <c r="B8" s="553"/>
      <c r="C8" s="331" t="s">
        <v>18</v>
      </c>
      <c r="D8" s="330" t="s">
        <v>19</v>
      </c>
      <c r="E8" s="330" t="s">
        <v>19</v>
      </c>
      <c r="F8" s="330" t="s">
        <v>20</v>
      </c>
      <c r="G8" s="330" t="s">
        <v>21</v>
      </c>
      <c r="H8" s="330" t="s">
        <v>22</v>
      </c>
      <c r="I8" s="553"/>
      <c r="J8" s="553"/>
      <c r="K8" s="332" t="s">
        <v>24</v>
      </c>
      <c r="L8" s="333" t="s">
        <v>25</v>
      </c>
      <c r="M8" s="556"/>
      <c r="N8" s="556"/>
      <c r="O8" s="474"/>
      <c r="P8" s="475"/>
      <c r="Q8" s="551"/>
      <c r="R8" s="484" t="s">
        <v>223</v>
      </c>
      <c r="S8" s="541"/>
      <c r="T8" s="549"/>
      <c r="U8" s="477" t="s">
        <v>223</v>
      </c>
      <c r="V8" s="541"/>
      <c r="W8" s="549"/>
      <c r="X8" s="507"/>
      <c r="Y8" s="507"/>
      <c r="Z8" s="478"/>
      <c r="AA8" s="471"/>
      <c r="AB8" s="471"/>
      <c r="AC8" s="471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</row>
    <row r="9" spans="1:790" s="291" customFormat="1" ht="15" thickBot="1" x14ac:dyDescent="0.35">
      <c r="A9" s="334"/>
      <c r="B9" s="559"/>
      <c r="C9" s="335"/>
      <c r="D9" s="336"/>
      <c r="E9" s="336"/>
      <c r="F9" s="336"/>
      <c r="G9" s="336"/>
      <c r="H9" s="336"/>
      <c r="I9" s="337"/>
      <c r="J9" s="338"/>
      <c r="K9" s="339"/>
      <c r="L9" s="340"/>
      <c r="M9" s="485"/>
      <c r="N9" s="485"/>
      <c r="O9" s="308"/>
      <c r="Q9" s="485"/>
      <c r="R9" s="479"/>
      <c r="S9" s="508"/>
      <c r="T9" s="509"/>
      <c r="U9" s="480"/>
      <c r="V9" s="508"/>
      <c r="W9" s="509"/>
      <c r="X9" s="507"/>
      <c r="Y9" s="507"/>
      <c r="Z9" s="478"/>
      <c r="AA9" s="471"/>
      <c r="AB9" s="471"/>
      <c r="AC9" s="471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</row>
    <row r="10" spans="1:790" s="291" customFormat="1" ht="28.2" thickBot="1" x14ac:dyDescent="0.35">
      <c r="A10" s="341" t="s">
        <v>26</v>
      </c>
      <c r="B10" s="560" t="s">
        <v>167</v>
      </c>
      <c r="C10" s="342"/>
      <c r="D10" s="343"/>
      <c r="E10" s="343"/>
      <c r="F10" s="343"/>
      <c r="G10" s="343"/>
      <c r="H10" s="343"/>
      <c r="I10" s="343"/>
      <c r="J10" s="344"/>
      <c r="K10" s="345"/>
      <c r="L10" s="346"/>
      <c r="M10" s="486"/>
      <c r="N10" s="486"/>
      <c r="O10" s="308"/>
      <c r="Q10" s="486"/>
      <c r="R10" s="472"/>
      <c r="S10" s="510"/>
      <c r="T10" s="511"/>
      <c r="U10" s="473"/>
      <c r="V10" s="510"/>
      <c r="W10" s="511"/>
      <c r="X10" s="507"/>
      <c r="Y10" s="507"/>
      <c r="Z10" s="478"/>
      <c r="AA10" s="471"/>
      <c r="AB10" s="471"/>
      <c r="AC10" s="471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</row>
    <row r="11" spans="1:790" s="291" customFormat="1" x14ac:dyDescent="0.3">
      <c r="A11" s="347"/>
      <c r="B11" s="561"/>
      <c r="C11" s="348"/>
      <c r="D11" s="349"/>
      <c r="E11" s="349"/>
      <c r="F11" s="349"/>
      <c r="G11" s="349"/>
      <c r="H11" s="349"/>
      <c r="I11" s="349"/>
      <c r="J11" s="350"/>
      <c r="K11" s="351"/>
      <c r="L11" s="352"/>
      <c r="M11" s="487"/>
      <c r="N11" s="487"/>
      <c r="O11" s="308"/>
      <c r="Q11" s="487"/>
      <c r="R11" s="472"/>
      <c r="S11" s="510"/>
      <c r="T11" s="511"/>
      <c r="U11" s="473"/>
      <c r="V11" s="510"/>
      <c r="W11" s="511"/>
      <c r="X11" s="507"/>
      <c r="Y11" s="507"/>
      <c r="Z11" s="478"/>
      <c r="AA11" s="471"/>
      <c r="AB11" s="471"/>
      <c r="AC11" s="471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</row>
    <row r="12" spans="1:790" s="291" customFormat="1" x14ac:dyDescent="0.3">
      <c r="A12" s="347"/>
      <c r="B12" s="562" t="s">
        <v>175</v>
      </c>
      <c r="C12" s="353"/>
      <c r="D12" s="354"/>
      <c r="E12" s="354"/>
      <c r="F12" s="354"/>
      <c r="G12" s="354"/>
      <c r="H12" s="354"/>
      <c r="I12" s="354"/>
      <c r="J12" s="355"/>
      <c r="K12" s="356"/>
      <c r="L12" s="357"/>
      <c r="M12" s="488"/>
      <c r="N12" s="488"/>
      <c r="O12" s="308"/>
      <c r="Q12" s="488"/>
      <c r="R12" s="472"/>
      <c r="S12" s="512"/>
      <c r="T12" s="513"/>
      <c r="U12" s="473"/>
      <c r="V12" s="512"/>
      <c r="W12" s="513"/>
      <c r="X12" s="507"/>
      <c r="Y12" s="507"/>
      <c r="Z12" s="478"/>
      <c r="AA12" s="471"/>
      <c r="AB12" s="471"/>
      <c r="AC12" s="471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</row>
    <row r="13" spans="1:790" s="291" customFormat="1" x14ac:dyDescent="0.3">
      <c r="A13" s="347"/>
      <c r="B13" s="563" t="s">
        <v>168</v>
      </c>
      <c r="C13" s="358"/>
      <c r="D13" s="359">
        <v>240</v>
      </c>
      <c r="E13" s="359"/>
      <c r="F13" s="360"/>
      <c r="G13" s="360"/>
      <c r="H13" s="360">
        <f t="shared" ref="H13:H21" si="0">PRODUCT(C13:G13)</f>
        <v>240</v>
      </c>
      <c r="I13" s="361" t="s">
        <v>169</v>
      </c>
      <c r="J13" s="362">
        <f t="shared" ref="J13:J21" si="1">H13</f>
        <v>240</v>
      </c>
      <c r="K13" s="363">
        <v>50</v>
      </c>
      <c r="L13" s="364">
        <f>J13*K13</f>
        <v>12000</v>
      </c>
      <c r="M13" s="489">
        <f>K13*(100%-16.5%)</f>
        <v>41.75</v>
      </c>
      <c r="N13" s="489">
        <f>IF(M13&gt;0,M13*J13,"")</f>
        <v>10020</v>
      </c>
      <c r="O13" s="308"/>
      <c r="Q13" s="502"/>
      <c r="R13" s="481">
        <f>J13</f>
        <v>240</v>
      </c>
      <c r="S13" s="514">
        <v>20</v>
      </c>
      <c r="T13" s="515">
        <f>IF(S13&gt;0,S13*R13,"")</f>
        <v>4800</v>
      </c>
      <c r="U13" s="482">
        <f>R13</f>
        <v>240</v>
      </c>
      <c r="V13" s="514"/>
      <c r="W13" s="515" t="str">
        <f t="shared" ref="W13:W26" si="2">IF(V13&gt;0,V13*U13,"")</f>
        <v/>
      </c>
      <c r="X13" s="507">
        <f>V13+S13</f>
        <v>20</v>
      </c>
      <c r="Y13" s="520">
        <f>M13-X13</f>
        <v>21.75</v>
      </c>
      <c r="Z13" s="521">
        <f>Y13/M13</f>
        <v>0.52095808383233533</v>
      </c>
      <c r="AA13" s="471"/>
      <c r="AB13" s="471"/>
      <c r="AC13" s="471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</row>
    <row r="14" spans="1:790" s="291" customFormat="1" x14ac:dyDescent="0.3">
      <c r="A14" s="347"/>
      <c r="B14" s="365" t="s">
        <v>170</v>
      </c>
      <c r="C14" s="366"/>
      <c r="D14" s="367">
        <v>170</v>
      </c>
      <c r="E14" s="367"/>
      <c r="F14" s="362"/>
      <c r="G14" s="368"/>
      <c r="H14" s="360">
        <f t="shared" si="0"/>
        <v>170</v>
      </c>
      <c r="I14" s="369" t="s">
        <v>22</v>
      </c>
      <c r="J14" s="362">
        <f t="shared" si="1"/>
        <v>170</v>
      </c>
      <c r="K14" s="363">
        <v>40</v>
      </c>
      <c r="L14" s="370">
        <f>J14*K14</f>
        <v>6800</v>
      </c>
      <c r="M14" s="490">
        <f t="shared" ref="M14:M26" si="3">K14*(100%-16.5%)</f>
        <v>33.4</v>
      </c>
      <c r="N14" s="489">
        <f t="shared" ref="N14:N26" si="4">IF(M14&gt;0,M14*J14,"")</f>
        <v>5678</v>
      </c>
      <c r="O14" s="308"/>
      <c r="Q14" s="497"/>
      <c r="R14" s="481">
        <f t="shared" ref="R14:R26" si="5">J14</f>
        <v>170</v>
      </c>
      <c r="S14" s="514">
        <v>15</v>
      </c>
      <c r="T14" s="515">
        <f t="shared" ref="T14:T21" si="6">IF(S14&gt;0,S14*R14,"")</f>
        <v>2550</v>
      </c>
      <c r="U14" s="482">
        <f t="shared" ref="U14:U26" si="7">R14</f>
        <v>170</v>
      </c>
      <c r="V14" s="514"/>
      <c r="W14" s="515" t="str">
        <f t="shared" si="2"/>
        <v/>
      </c>
      <c r="X14" s="507">
        <f t="shared" ref="X14:X21" si="8">V14+S14</f>
        <v>15</v>
      </c>
      <c r="Y14" s="520">
        <f t="shared" ref="Y14:Y21" si="9">M14-X14</f>
        <v>18.399999999999999</v>
      </c>
      <c r="Z14" s="521">
        <f t="shared" ref="Z14:Z21" si="10">Y14/M14</f>
        <v>0.55089820359281438</v>
      </c>
      <c r="AA14" s="471"/>
      <c r="AB14" s="471"/>
      <c r="AC14" s="471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</row>
    <row r="15" spans="1:790" s="291" customFormat="1" x14ac:dyDescent="0.3">
      <c r="A15" s="347"/>
      <c r="B15" s="365" t="s">
        <v>183</v>
      </c>
      <c r="C15" s="366">
        <v>5</v>
      </c>
      <c r="D15" s="367"/>
      <c r="E15" s="367"/>
      <c r="F15" s="362"/>
      <c r="G15" s="368"/>
      <c r="H15" s="360">
        <f t="shared" si="0"/>
        <v>5</v>
      </c>
      <c r="I15" s="369" t="s">
        <v>18</v>
      </c>
      <c r="J15" s="362">
        <f t="shared" si="1"/>
        <v>5</v>
      </c>
      <c r="K15" s="363">
        <v>800</v>
      </c>
      <c r="L15" s="370">
        <f t="shared" ref="L15" si="11">J15*K15</f>
        <v>4000</v>
      </c>
      <c r="M15" s="490">
        <f t="shared" si="3"/>
        <v>668</v>
      </c>
      <c r="N15" s="489">
        <f t="shared" si="4"/>
        <v>3340</v>
      </c>
      <c r="O15" s="308"/>
      <c r="Q15" s="497"/>
      <c r="R15" s="481">
        <f t="shared" si="5"/>
        <v>5</v>
      </c>
      <c r="S15" s="514">
        <v>400</v>
      </c>
      <c r="T15" s="515">
        <f t="shared" si="6"/>
        <v>2000</v>
      </c>
      <c r="U15" s="482">
        <f t="shared" si="7"/>
        <v>5</v>
      </c>
      <c r="V15" s="514"/>
      <c r="W15" s="515" t="str">
        <f t="shared" si="2"/>
        <v/>
      </c>
      <c r="X15" s="507">
        <f t="shared" si="8"/>
        <v>400</v>
      </c>
      <c r="Y15" s="520">
        <f t="shared" si="9"/>
        <v>268</v>
      </c>
      <c r="Z15" s="521">
        <f t="shared" si="10"/>
        <v>0.40119760479041916</v>
      </c>
      <c r="AA15" s="471"/>
      <c r="AB15" s="471"/>
      <c r="AC15" s="471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</row>
    <row r="16" spans="1:790" s="291" customFormat="1" x14ac:dyDescent="0.3">
      <c r="A16" s="347"/>
      <c r="B16" s="365" t="s">
        <v>184</v>
      </c>
      <c r="C16" s="366">
        <v>6</v>
      </c>
      <c r="D16" s="367"/>
      <c r="E16" s="367"/>
      <c r="F16" s="362"/>
      <c r="G16" s="368"/>
      <c r="H16" s="360">
        <f t="shared" si="0"/>
        <v>6</v>
      </c>
      <c r="I16" s="369" t="s">
        <v>18</v>
      </c>
      <c r="J16" s="362">
        <f t="shared" si="1"/>
        <v>6</v>
      </c>
      <c r="K16" s="363">
        <v>150</v>
      </c>
      <c r="L16" s="370">
        <f>J16*K16</f>
        <v>900</v>
      </c>
      <c r="M16" s="490">
        <f t="shared" si="3"/>
        <v>125.25</v>
      </c>
      <c r="N16" s="489">
        <f t="shared" si="4"/>
        <v>751.5</v>
      </c>
      <c r="O16" s="308"/>
      <c r="Q16" s="497"/>
      <c r="R16" s="481">
        <f t="shared" si="5"/>
        <v>6</v>
      </c>
      <c r="S16" s="514">
        <v>50</v>
      </c>
      <c r="T16" s="515">
        <f t="shared" si="6"/>
        <v>300</v>
      </c>
      <c r="U16" s="482">
        <f t="shared" si="7"/>
        <v>6</v>
      </c>
      <c r="V16" s="514"/>
      <c r="W16" s="515" t="str">
        <f t="shared" si="2"/>
        <v/>
      </c>
      <c r="X16" s="507">
        <f t="shared" si="8"/>
        <v>50</v>
      </c>
      <c r="Y16" s="520">
        <f t="shared" si="9"/>
        <v>75.25</v>
      </c>
      <c r="Z16" s="521">
        <f t="shared" si="10"/>
        <v>0.60079840319361277</v>
      </c>
      <c r="AA16" s="471"/>
      <c r="AB16" s="471"/>
      <c r="AC16" s="471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</row>
    <row r="17" spans="1:790" s="291" customFormat="1" x14ac:dyDescent="0.3">
      <c r="A17" s="347"/>
      <c r="B17" s="365" t="s">
        <v>185</v>
      </c>
      <c r="C17" s="366">
        <v>2</v>
      </c>
      <c r="D17" s="367"/>
      <c r="E17" s="367"/>
      <c r="F17" s="362"/>
      <c r="G17" s="368"/>
      <c r="H17" s="360">
        <f t="shared" si="0"/>
        <v>2</v>
      </c>
      <c r="I17" s="369" t="s">
        <v>18</v>
      </c>
      <c r="J17" s="362">
        <f t="shared" si="1"/>
        <v>2</v>
      </c>
      <c r="K17" s="363">
        <v>50</v>
      </c>
      <c r="L17" s="370">
        <f>J17*K17</f>
        <v>100</v>
      </c>
      <c r="M17" s="490">
        <f t="shared" si="3"/>
        <v>41.75</v>
      </c>
      <c r="N17" s="489">
        <f t="shared" si="4"/>
        <v>83.5</v>
      </c>
      <c r="O17" s="308"/>
      <c r="Q17" s="497"/>
      <c r="R17" s="481">
        <f t="shared" si="5"/>
        <v>2</v>
      </c>
      <c r="S17" s="514">
        <v>20</v>
      </c>
      <c r="T17" s="515">
        <f t="shared" si="6"/>
        <v>40</v>
      </c>
      <c r="U17" s="482">
        <f t="shared" si="7"/>
        <v>2</v>
      </c>
      <c r="V17" s="514"/>
      <c r="W17" s="515" t="str">
        <f t="shared" si="2"/>
        <v/>
      </c>
      <c r="X17" s="507">
        <f t="shared" si="8"/>
        <v>20</v>
      </c>
      <c r="Y17" s="520">
        <f t="shared" si="9"/>
        <v>21.75</v>
      </c>
      <c r="Z17" s="521">
        <f t="shared" si="10"/>
        <v>0.52095808383233533</v>
      </c>
      <c r="AA17" s="471"/>
      <c r="AB17" s="471"/>
      <c r="AC17" s="471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</row>
    <row r="18" spans="1:790" s="291" customFormat="1" x14ac:dyDescent="0.3">
      <c r="A18" s="347"/>
      <c r="B18" s="365" t="s">
        <v>186</v>
      </c>
      <c r="C18" s="366">
        <v>7</v>
      </c>
      <c r="D18" s="367"/>
      <c r="E18" s="367"/>
      <c r="F18" s="362"/>
      <c r="G18" s="368"/>
      <c r="H18" s="360">
        <f t="shared" si="0"/>
        <v>7</v>
      </c>
      <c r="I18" s="369" t="s">
        <v>18</v>
      </c>
      <c r="J18" s="362">
        <f t="shared" si="1"/>
        <v>7</v>
      </c>
      <c r="K18" s="363">
        <v>150</v>
      </c>
      <c r="L18" s="370">
        <f>J18*K18</f>
        <v>1050</v>
      </c>
      <c r="M18" s="490">
        <f t="shared" si="3"/>
        <v>125.25</v>
      </c>
      <c r="N18" s="489">
        <f t="shared" si="4"/>
        <v>876.75</v>
      </c>
      <c r="O18" s="308"/>
      <c r="Q18" s="497"/>
      <c r="R18" s="481">
        <f t="shared" si="5"/>
        <v>7</v>
      </c>
      <c r="S18" s="514">
        <v>50</v>
      </c>
      <c r="T18" s="515">
        <f t="shared" si="6"/>
        <v>350</v>
      </c>
      <c r="U18" s="482">
        <f t="shared" si="7"/>
        <v>7</v>
      </c>
      <c r="V18" s="514"/>
      <c r="W18" s="515" t="str">
        <f t="shared" si="2"/>
        <v/>
      </c>
      <c r="X18" s="507">
        <f t="shared" si="8"/>
        <v>50</v>
      </c>
      <c r="Y18" s="520">
        <f t="shared" si="9"/>
        <v>75.25</v>
      </c>
      <c r="Z18" s="521">
        <f t="shared" si="10"/>
        <v>0.60079840319361277</v>
      </c>
      <c r="AA18" s="471"/>
      <c r="AB18" s="471"/>
      <c r="AC18" s="471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</row>
    <row r="19" spans="1:790" s="291" customFormat="1" x14ac:dyDescent="0.3">
      <c r="A19" s="347"/>
      <c r="B19" s="365" t="s">
        <v>172</v>
      </c>
      <c r="C19" s="366"/>
      <c r="D19" s="367">
        <f>105+5+5+9.5+8+45+20+5+5+36+36+5+5+20</f>
        <v>309.5</v>
      </c>
      <c r="E19" s="367"/>
      <c r="F19" s="362"/>
      <c r="G19" s="368"/>
      <c r="H19" s="360">
        <f t="shared" si="0"/>
        <v>309.5</v>
      </c>
      <c r="I19" s="369" t="s">
        <v>169</v>
      </c>
      <c r="J19" s="362">
        <f t="shared" si="1"/>
        <v>309.5</v>
      </c>
      <c r="K19" s="363">
        <v>8</v>
      </c>
      <c r="L19" s="370">
        <f t="shared" ref="L19:L21" si="12">J19*K19</f>
        <v>2476</v>
      </c>
      <c r="M19" s="490">
        <f t="shared" si="3"/>
        <v>6.68</v>
      </c>
      <c r="N19" s="489">
        <f t="shared" si="4"/>
        <v>2067.46</v>
      </c>
      <c r="O19" s="308"/>
      <c r="Q19" s="497"/>
      <c r="R19" s="481">
        <f t="shared" si="5"/>
        <v>309.5</v>
      </c>
      <c r="S19" s="514">
        <v>3</v>
      </c>
      <c r="T19" s="515">
        <f t="shared" si="6"/>
        <v>928.5</v>
      </c>
      <c r="U19" s="482">
        <f t="shared" si="7"/>
        <v>309.5</v>
      </c>
      <c r="V19" s="514"/>
      <c r="W19" s="515" t="str">
        <f t="shared" si="2"/>
        <v/>
      </c>
      <c r="X19" s="507">
        <f t="shared" si="8"/>
        <v>3</v>
      </c>
      <c r="Y19" s="520">
        <f t="shared" si="9"/>
        <v>3.6799999999999997</v>
      </c>
      <c r="Z19" s="521">
        <f t="shared" si="10"/>
        <v>0.55089820359281438</v>
      </c>
      <c r="AA19" s="471"/>
      <c r="AB19" s="471"/>
      <c r="AC19" s="471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</row>
    <row r="20" spans="1:790" s="291" customFormat="1" x14ac:dyDescent="0.3">
      <c r="A20" s="347"/>
      <c r="B20" s="365" t="s">
        <v>174</v>
      </c>
      <c r="C20" s="366"/>
      <c r="D20" s="367">
        <v>35</v>
      </c>
      <c r="E20" s="367"/>
      <c r="F20" s="362"/>
      <c r="G20" s="368">
        <v>3</v>
      </c>
      <c r="H20" s="360">
        <f t="shared" si="0"/>
        <v>105</v>
      </c>
      <c r="I20" s="369" t="s">
        <v>20</v>
      </c>
      <c r="J20" s="362">
        <f t="shared" si="1"/>
        <v>105</v>
      </c>
      <c r="K20" s="363">
        <v>45</v>
      </c>
      <c r="L20" s="370">
        <f t="shared" si="12"/>
        <v>4725</v>
      </c>
      <c r="M20" s="490">
        <f t="shared" si="3"/>
        <v>37.574999999999996</v>
      </c>
      <c r="N20" s="489">
        <f t="shared" si="4"/>
        <v>3945.3749999999995</v>
      </c>
      <c r="O20" s="308"/>
      <c r="Q20" s="497"/>
      <c r="R20" s="481">
        <f t="shared" si="5"/>
        <v>105</v>
      </c>
      <c r="S20" s="514">
        <v>30</v>
      </c>
      <c r="T20" s="515">
        <f t="shared" si="6"/>
        <v>3150</v>
      </c>
      <c r="U20" s="482">
        <f t="shared" si="7"/>
        <v>105</v>
      </c>
      <c r="V20" s="514"/>
      <c r="W20" s="515" t="str">
        <f t="shared" si="2"/>
        <v/>
      </c>
      <c r="X20" s="507">
        <f t="shared" si="8"/>
        <v>30</v>
      </c>
      <c r="Y20" s="520">
        <f t="shared" si="9"/>
        <v>7.5749999999999957</v>
      </c>
      <c r="Z20" s="521">
        <f t="shared" si="10"/>
        <v>0.20159680638722546</v>
      </c>
      <c r="AA20" s="471"/>
      <c r="AB20" s="471"/>
      <c r="AC20" s="471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</row>
    <row r="21" spans="1:790" s="291" customFormat="1" x14ac:dyDescent="0.3">
      <c r="A21" s="347"/>
      <c r="B21" s="365" t="s">
        <v>173</v>
      </c>
      <c r="C21" s="366"/>
      <c r="D21" s="367">
        <v>42</v>
      </c>
      <c r="E21" s="367"/>
      <c r="F21" s="362"/>
      <c r="G21" s="368"/>
      <c r="H21" s="360">
        <f t="shared" si="0"/>
        <v>42</v>
      </c>
      <c r="I21" s="369" t="s">
        <v>169</v>
      </c>
      <c r="J21" s="362">
        <f t="shared" si="1"/>
        <v>42</v>
      </c>
      <c r="K21" s="363">
        <v>30</v>
      </c>
      <c r="L21" s="370">
        <f t="shared" si="12"/>
        <v>1260</v>
      </c>
      <c r="M21" s="490">
        <f t="shared" si="3"/>
        <v>25.049999999999997</v>
      </c>
      <c r="N21" s="489">
        <f t="shared" si="4"/>
        <v>1052.0999999999999</v>
      </c>
      <c r="O21" s="308"/>
      <c r="Q21" s="497"/>
      <c r="R21" s="481">
        <f t="shared" si="5"/>
        <v>42</v>
      </c>
      <c r="S21" s="514">
        <v>12</v>
      </c>
      <c r="T21" s="515">
        <f t="shared" si="6"/>
        <v>504</v>
      </c>
      <c r="U21" s="482">
        <f t="shared" si="7"/>
        <v>42</v>
      </c>
      <c r="V21" s="514"/>
      <c r="W21" s="515" t="str">
        <f t="shared" si="2"/>
        <v/>
      </c>
      <c r="X21" s="507">
        <f t="shared" si="8"/>
        <v>12</v>
      </c>
      <c r="Y21" s="520">
        <f t="shared" si="9"/>
        <v>13.049999999999997</v>
      </c>
      <c r="Z21" s="521">
        <f t="shared" si="10"/>
        <v>0.52095808383233533</v>
      </c>
      <c r="AA21" s="471"/>
      <c r="AB21" s="471"/>
      <c r="AC21" s="471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</row>
    <row r="22" spans="1:790" s="291" customFormat="1" x14ac:dyDescent="0.3">
      <c r="A22" s="347"/>
      <c r="B22" s="562" t="s">
        <v>176</v>
      </c>
      <c r="C22" s="366"/>
      <c r="D22" s="367"/>
      <c r="E22" s="367"/>
      <c r="F22" s="362"/>
      <c r="G22" s="368"/>
      <c r="H22" s="360"/>
      <c r="I22" s="369"/>
      <c r="J22" s="362"/>
      <c r="K22" s="363"/>
      <c r="L22" s="370"/>
      <c r="M22" s="490"/>
      <c r="N22" s="489" t="str">
        <f t="shared" si="4"/>
        <v/>
      </c>
      <c r="O22" s="308"/>
      <c r="Q22" s="497"/>
      <c r="R22" s="481"/>
      <c r="S22" s="514"/>
      <c r="T22" s="515"/>
      <c r="U22" s="482"/>
      <c r="V22" s="514"/>
      <c r="W22" s="515" t="str">
        <f t="shared" si="2"/>
        <v/>
      </c>
      <c r="X22" s="507"/>
      <c r="Y22" s="507"/>
      <c r="Z22" s="478"/>
      <c r="AA22" s="471"/>
      <c r="AB22" s="471"/>
      <c r="AC22" s="471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</row>
    <row r="23" spans="1:790" s="291" customFormat="1" ht="27.6" x14ac:dyDescent="0.3">
      <c r="A23" s="347"/>
      <c r="B23" s="365" t="s">
        <v>193</v>
      </c>
      <c r="C23" s="366"/>
      <c r="D23" s="367">
        <v>120</v>
      </c>
      <c r="E23" s="367"/>
      <c r="F23" s="362"/>
      <c r="G23" s="368"/>
      <c r="H23" s="360">
        <f t="shared" ref="H23" si="13">PRODUCT(C23:G23)</f>
        <v>120</v>
      </c>
      <c r="I23" s="369" t="s">
        <v>18</v>
      </c>
      <c r="J23" s="362">
        <f>H23</f>
        <v>120</v>
      </c>
      <c r="K23" s="363">
        <f>123.87*1.05</f>
        <v>130.0635</v>
      </c>
      <c r="L23" s="370">
        <f t="shared" ref="L23:L26" si="14">J23*K23</f>
        <v>15607.62</v>
      </c>
      <c r="M23" s="490">
        <f t="shared" si="3"/>
        <v>108.60302249999999</v>
      </c>
      <c r="N23" s="489">
        <f t="shared" si="4"/>
        <v>13032.3627</v>
      </c>
      <c r="O23" s="308" t="s">
        <v>202</v>
      </c>
      <c r="Q23" s="497" t="s">
        <v>227</v>
      </c>
      <c r="R23" s="481">
        <f t="shared" si="5"/>
        <v>120</v>
      </c>
      <c r="S23" s="514">
        <v>28.96</v>
      </c>
      <c r="T23" s="515">
        <f>IF(S23&gt;0,S23*R23,"")</f>
        <v>3475.2000000000003</v>
      </c>
      <c r="U23" s="482">
        <f t="shared" si="7"/>
        <v>120</v>
      </c>
      <c r="V23" s="514">
        <v>43.14</v>
      </c>
      <c r="W23" s="515">
        <f t="shared" si="2"/>
        <v>5176.8</v>
      </c>
      <c r="X23" s="507">
        <f t="shared" ref="X23:X26" si="15">V23+S23</f>
        <v>72.099999999999994</v>
      </c>
      <c r="Y23" s="520">
        <f t="shared" ref="Y23:Y26" si="16">M23-X23</f>
        <v>36.5030225</v>
      </c>
      <c r="Z23" s="521">
        <f t="shared" ref="Z23:Z26" si="17">Y23/M23</f>
        <v>0.33611424120355399</v>
      </c>
      <c r="AA23" s="471"/>
      <c r="AB23" s="471"/>
      <c r="AC23" s="471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</row>
    <row r="24" spans="1:790" s="291" customFormat="1" ht="27.6" x14ac:dyDescent="0.3">
      <c r="A24" s="347"/>
      <c r="B24" s="365" t="s">
        <v>192</v>
      </c>
      <c r="C24" s="366"/>
      <c r="D24" s="367">
        <v>125</v>
      </c>
      <c r="E24" s="367"/>
      <c r="F24" s="362"/>
      <c r="G24" s="368"/>
      <c r="H24" s="360">
        <f>PRODUCT(C24:G24)</f>
        <v>125</v>
      </c>
      <c r="I24" s="369" t="s">
        <v>18</v>
      </c>
      <c r="J24" s="362">
        <f>H24</f>
        <v>125</v>
      </c>
      <c r="K24" s="363">
        <v>41</v>
      </c>
      <c r="L24" s="370">
        <f t="shared" si="14"/>
        <v>5125</v>
      </c>
      <c r="M24" s="490">
        <f t="shared" si="3"/>
        <v>34.234999999999999</v>
      </c>
      <c r="N24" s="489">
        <f t="shared" si="4"/>
        <v>4279.375</v>
      </c>
      <c r="O24" s="308"/>
      <c r="Q24" s="497" t="s">
        <v>228</v>
      </c>
      <c r="R24" s="481">
        <f t="shared" si="5"/>
        <v>125</v>
      </c>
      <c r="S24" s="514">
        <f>[2]CM!$M$444</f>
        <v>6</v>
      </c>
      <c r="T24" s="515">
        <f>IF(S24&gt;0,S24*R24,"")</f>
        <v>750</v>
      </c>
      <c r="U24" s="482">
        <f t="shared" si="7"/>
        <v>125</v>
      </c>
      <c r="V24" s="514">
        <f>[2]CM!$P$444</f>
        <v>8.02</v>
      </c>
      <c r="W24" s="515">
        <f t="shared" si="2"/>
        <v>1002.5</v>
      </c>
      <c r="X24" s="507">
        <f t="shared" si="15"/>
        <v>14.02</v>
      </c>
      <c r="Y24" s="520">
        <f t="shared" si="16"/>
        <v>20.215</v>
      </c>
      <c r="Z24" s="521">
        <f t="shared" si="17"/>
        <v>0.59047758142252083</v>
      </c>
      <c r="AA24" s="471"/>
      <c r="AB24" s="471"/>
      <c r="AC24" s="471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</row>
    <row r="25" spans="1:790" s="291" customFormat="1" x14ac:dyDescent="0.3">
      <c r="A25" s="347"/>
      <c r="B25" s="365" t="s">
        <v>171</v>
      </c>
      <c r="C25" s="366">
        <v>4</v>
      </c>
      <c r="D25" s="367"/>
      <c r="E25" s="367"/>
      <c r="F25" s="362"/>
      <c r="G25" s="368"/>
      <c r="H25" s="360">
        <f>PRODUCT(C25:G25)</f>
        <v>4</v>
      </c>
      <c r="I25" s="369" t="s">
        <v>18</v>
      </c>
      <c r="J25" s="362">
        <f>H25</f>
        <v>4</v>
      </c>
      <c r="K25" s="363">
        <v>330</v>
      </c>
      <c r="L25" s="370">
        <f t="shared" si="14"/>
        <v>1320</v>
      </c>
      <c r="M25" s="490">
        <f t="shared" si="3"/>
        <v>275.55</v>
      </c>
      <c r="N25" s="489">
        <f t="shared" si="4"/>
        <v>1102.2</v>
      </c>
      <c r="O25" s="308"/>
      <c r="Q25" s="497"/>
      <c r="R25" s="481">
        <f t="shared" si="5"/>
        <v>4</v>
      </c>
      <c r="S25" s="514">
        <v>72.489999999999995</v>
      </c>
      <c r="T25" s="515">
        <f>IF(S25&gt;0,S25*R25,"")</f>
        <v>289.95999999999998</v>
      </c>
      <c r="U25" s="482">
        <f t="shared" si="7"/>
        <v>4</v>
      </c>
      <c r="V25" s="514">
        <v>110.58</v>
      </c>
      <c r="W25" s="515">
        <f t="shared" si="2"/>
        <v>442.32</v>
      </c>
      <c r="X25" s="507">
        <f t="shared" si="15"/>
        <v>183.07</v>
      </c>
      <c r="Y25" s="520">
        <f t="shared" si="16"/>
        <v>92.480000000000018</v>
      </c>
      <c r="Z25" s="521">
        <f t="shared" si="17"/>
        <v>0.33561966975140634</v>
      </c>
      <c r="AA25" s="471"/>
      <c r="AB25" s="471"/>
      <c r="AC25" s="471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</row>
    <row r="26" spans="1:790" s="291" customFormat="1" ht="27.6" x14ac:dyDescent="0.3">
      <c r="A26" s="347"/>
      <c r="B26" s="365" t="s">
        <v>194</v>
      </c>
      <c r="C26" s="366"/>
      <c r="D26" s="367">
        <v>16</v>
      </c>
      <c r="E26" s="367"/>
      <c r="F26" s="362"/>
      <c r="G26" s="368"/>
      <c r="H26" s="360">
        <f>PRODUCT(C26:G26)</f>
        <v>16</v>
      </c>
      <c r="I26" s="369" t="s">
        <v>169</v>
      </c>
      <c r="J26" s="362">
        <f>H26</f>
        <v>16</v>
      </c>
      <c r="K26" s="363">
        <v>32</v>
      </c>
      <c r="L26" s="370">
        <f t="shared" si="14"/>
        <v>512</v>
      </c>
      <c r="M26" s="490">
        <f t="shared" si="3"/>
        <v>26.72</v>
      </c>
      <c r="N26" s="489">
        <f t="shared" si="4"/>
        <v>427.52</v>
      </c>
      <c r="O26" s="308"/>
      <c r="Q26" s="497" t="s">
        <v>238</v>
      </c>
      <c r="R26" s="481">
        <f t="shared" si="5"/>
        <v>16</v>
      </c>
      <c r="S26" s="514"/>
      <c r="T26" s="515"/>
      <c r="U26" s="482">
        <f t="shared" si="7"/>
        <v>16</v>
      </c>
      <c r="V26" s="514">
        <v>19.23</v>
      </c>
      <c r="W26" s="515">
        <f t="shared" si="2"/>
        <v>307.68</v>
      </c>
      <c r="X26" s="507">
        <f t="shared" si="15"/>
        <v>19.23</v>
      </c>
      <c r="Y26" s="520">
        <f t="shared" si="16"/>
        <v>7.4899999999999984</v>
      </c>
      <c r="Z26" s="521">
        <f t="shared" si="17"/>
        <v>0.28031437125748498</v>
      </c>
      <c r="AA26" s="471"/>
      <c r="AB26" s="471"/>
      <c r="AC26" s="471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</row>
    <row r="27" spans="1:790" s="291" customFormat="1" ht="15" thickBot="1" x14ac:dyDescent="0.35">
      <c r="A27" s="347"/>
      <c r="B27" s="371"/>
      <c r="C27" s="372"/>
      <c r="D27" s="373"/>
      <c r="E27" s="373"/>
      <c r="F27" s="374"/>
      <c r="G27" s="375"/>
      <c r="H27" s="374"/>
      <c r="I27" s="376"/>
      <c r="J27" s="374"/>
      <c r="K27" s="377"/>
      <c r="L27" s="378"/>
      <c r="M27" s="491"/>
      <c r="N27" s="491"/>
      <c r="O27" s="308"/>
      <c r="Q27" s="503"/>
      <c r="R27" s="481"/>
      <c r="S27" s="514"/>
      <c r="T27" s="515"/>
      <c r="U27" s="482"/>
      <c r="V27" s="514"/>
      <c r="W27" s="515"/>
      <c r="X27" s="507"/>
      <c r="Y27" s="507"/>
      <c r="Z27" s="478"/>
      <c r="AA27" s="471"/>
      <c r="AB27" s="471"/>
      <c r="AC27" s="471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</row>
    <row r="28" spans="1:790" s="291" customFormat="1" ht="15" thickBot="1" x14ac:dyDescent="0.35">
      <c r="A28" s="379" t="s">
        <v>26</v>
      </c>
      <c r="B28" s="564" t="s">
        <v>182</v>
      </c>
      <c r="C28" s="380"/>
      <c r="D28" s="381"/>
      <c r="E28" s="381"/>
      <c r="F28" s="381"/>
      <c r="G28" s="381"/>
      <c r="H28" s="381"/>
      <c r="I28" s="381"/>
      <c r="J28" s="382"/>
      <c r="K28" s="383"/>
      <c r="L28" s="384">
        <f>SUM(L13:L27)</f>
        <v>55875.62</v>
      </c>
      <c r="M28" s="492"/>
      <c r="N28" s="492">
        <f>SUM(N13:N27)</f>
        <v>46656.142699999989</v>
      </c>
      <c r="O28" s="308"/>
      <c r="Q28" s="492"/>
      <c r="R28" s="384"/>
      <c r="S28" s="516"/>
      <c r="T28" s="516">
        <f>SUM(T13:T27)</f>
        <v>19137.66</v>
      </c>
      <c r="U28" s="384"/>
      <c r="V28" s="516"/>
      <c r="W28" s="516">
        <f t="shared" ref="W28" si="18">SUM(W13:W26)</f>
        <v>6929.3</v>
      </c>
      <c r="X28" s="507"/>
      <c r="Y28" s="507"/>
      <c r="Z28" s="478"/>
      <c r="AA28" s="516">
        <f>SUM(R28:W28)</f>
        <v>26066.959999999999</v>
      </c>
      <c r="AB28" s="518">
        <f>N28-AA28</f>
        <v>20589.18269999999</v>
      </c>
      <c r="AC28" s="519">
        <f>AB28/L28</f>
        <v>0.3684824025218868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</row>
    <row r="29" spans="1:790" s="291" customFormat="1" ht="15" thickBot="1" x14ac:dyDescent="0.35">
      <c r="A29" s="385"/>
      <c r="B29" s="565"/>
      <c r="C29" s="386"/>
      <c r="D29" s="387"/>
      <c r="E29" s="387"/>
      <c r="F29" s="387"/>
      <c r="G29" s="387"/>
      <c r="H29" s="387"/>
      <c r="I29" s="388"/>
      <c r="J29" s="389"/>
      <c r="K29" s="390"/>
      <c r="L29" s="391"/>
      <c r="M29" s="493"/>
      <c r="N29" s="493"/>
      <c r="O29" s="308"/>
      <c r="Q29" s="493"/>
      <c r="R29" s="481"/>
      <c r="S29" s="514"/>
      <c r="T29" s="515"/>
      <c r="U29" s="482"/>
      <c r="V29" s="514"/>
      <c r="W29" s="515"/>
      <c r="X29" s="507"/>
      <c r="Y29" s="507"/>
      <c r="Z29" s="478"/>
      <c r="AA29" s="471"/>
      <c r="AB29" s="471"/>
      <c r="AC29" s="471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</row>
    <row r="30" spans="1:790" s="291" customFormat="1" ht="15" thickBot="1" x14ac:dyDescent="0.35">
      <c r="A30" s="392" t="s">
        <v>66</v>
      </c>
      <c r="B30" s="566" t="s">
        <v>27</v>
      </c>
      <c r="C30" s="393"/>
      <c r="D30" s="394"/>
      <c r="E30" s="394"/>
      <c r="F30" s="394"/>
      <c r="G30" s="394"/>
      <c r="H30" s="394"/>
      <c r="I30" s="394"/>
      <c r="J30" s="395"/>
      <c r="K30" s="396"/>
      <c r="L30" s="346"/>
      <c r="M30" s="486"/>
      <c r="N30" s="486"/>
      <c r="O30" s="308"/>
      <c r="Q30" s="486"/>
      <c r="R30" s="481"/>
      <c r="S30" s="514"/>
      <c r="T30" s="515"/>
      <c r="U30" s="482"/>
      <c r="V30" s="514"/>
      <c r="W30" s="515"/>
      <c r="X30" s="507"/>
      <c r="Y30" s="507"/>
      <c r="Z30" s="478"/>
      <c r="AA30" s="471"/>
      <c r="AB30" s="471"/>
      <c r="AC30" s="471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</row>
    <row r="31" spans="1:790" s="291" customFormat="1" x14ac:dyDescent="0.3">
      <c r="A31" s="397"/>
      <c r="B31" s="561"/>
      <c r="C31" s="348"/>
      <c r="D31" s="349"/>
      <c r="E31" s="349"/>
      <c r="F31" s="349"/>
      <c r="G31" s="349"/>
      <c r="H31" s="349"/>
      <c r="I31" s="349"/>
      <c r="J31" s="350"/>
      <c r="K31" s="351"/>
      <c r="L31" s="352"/>
      <c r="M31" s="487"/>
      <c r="N31" s="487"/>
      <c r="O31" s="308"/>
      <c r="Q31" s="487"/>
      <c r="R31" s="481"/>
      <c r="S31" s="514"/>
      <c r="T31" s="515"/>
      <c r="U31" s="482"/>
      <c r="V31" s="514"/>
      <c r="W31" s="515"/>
      <c r="X31" s="507"/>
      <c r="Y31" s="507"/>
      <c r="Z31" s="478"/>
      <c r="AA31" s="471"/>
      <c r="AB31" s="471"/>
      <c r="AC31" s="471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  <c r="AAS31" s="6"/>
      <c r="AAT31" s="6"/>
      <c r="AAU31" s="6"/>
      <c r="AAV31" s="6"/>
      <c r="AAW31" s="6"/>
      <c r="AAX31" s="6"/>
      <c r="AAY31" s="6"/>
      <c r="AAZ31" s="6"/>
      <c r="ABA31" s="6"/>
      <c r="ABB31" s="6"/>
      <c r="ABC31" s="6"/>
      <c r="ABD31" s="6"/>
      <c r="ABE31" s="6"/>
      <c r="ABF31" s="6"/>
      <c r="ABG31" s="6"/>
      <c r="ABH31" s="6"/>
      <c r="ABI31" s="6"/>
      <c r="ABJ31" s="6"/>
      <c r="ABK31" s="6"/>
      <c r="ABL31" s="6"/>
      <c r="ABM31" s="6"/>
      <c r="ABN31" s="6"/>
      <c r="ABO31" s="6"/>
      <c r="ABP31" s="6"/>
      <c r="ABQ31" s="6"/>
      <c r="ABR31" s="6"/>
      <c r="ABS31" s="6"/>
      <c r="ABT31" s="6"/>
      <c r="ABU31" s="6"/>
      <c r="ABV31" s="6"/>
      <c r="ABW31" s="6"/>
      <c r="ABX31" s="6"/>
      <c r="ABY31" s="6"/>
      <c r="ABZ31" s="6"/>
      <c r="ACA31" s="6"/>
      <c r="ACB31" s="6"/>
      <c r="ACC31" s="6"/>
      <c r="ACD31" s="6"/>
      <c r="ACE31" s="6"/>
      <c r="ACF31" s="6"/>
      <c r="ACG31" s="6"/>
      <c r="ACH31" s="6"/>
      <c r="ACI31" s="6"/>
      <c r="ACJ31" s="6"/>
      <c r="ACK31" s="6"/>
      <c r="ACL31" s="6"/>
      <c r="ACM31" s="6"/>
      <c r="ACN31" s="6"/>
      <c r="ACO31" s="6"/>
      <c r="ACP31" s="6"/>
      <c r="ACQ31" s="6"/>
      <c r="ACR31" s="6"/>
      <c r="ACS31" s="6"/>
      <c r="ACT31" s="6"/>
      <c r="ACU31" s="6"/>
      <c r="ACV31" s="6"/>
      <c r="ACW31" s="6"/>
      <c r="ACX31" s="6"/>
      <c r="ACY31" s="6"/>
      <c r="ACZ31" s="6"/>
      <c r="ADA31" s="6"/>
      <c r="ADB31" s="6"/>
      <c r="ADC31" s="6"/>
      <c r="ADD31" s="6"/>
      <c r="ADE31" s="6"/>
      <c r="ADF31" s="6"/>
      <c r="ADG31" s="6"/>
      <c r="ADH31" s="6"/>
      <c r="ADI31" s="6"/>
      <c r="ADJ31" s="6"/>
    </row>
    <row r="32" spans="1:790" s="291" customFormat="1" x14ac:dyDescent="0.3">
      <c r="A32" s="398"/>
      <c r="B32" s="563" t="s">
        <v>28</v>
      </c>
      <c r="C32" s="358"/>
      <c r="D32" s="359"/>
      <c r="E32" s="359"/>
      <c r="F32" s="360">
        <v>16127</v>
      </c>
      <c r="G32" s="360">
        <v>0.1</v>
      </c>
      <c r="H32" s="360">
        <f>PRODUCT(C32:G32)</f>
        <v>1612.7</v>
      </c>
      <c r="I32" s="361" t="s">
        <v>22</v>
      </c>
      <c r="J32" s="362">
        <f>H32</f>
        <v>1612.7</v>
      </c>
      <c r="K32" s="363">
        <v>4.5999999999999996</v>
      </c>
      <c r="L32" s="364">
        <f>J32*K32</f>
        <v>7418.42</v>
      </c>
      <c r="M32" s="489">
        <f t="shared" ref="M32:M34" si="19">K32*(100%-16.5%)</f>
        <v>3.8409999999999997</v>
      </c>
      <c r="N32" s="489">
        <f t="shared" ref="N32:N77" si="20">IF(M32&gt;0,M32*J32,"")</f>
        <v>6194.3806999999997</v>
      </c>
      <c r="O32" s="308" t="s">
        <v>203</v>
      </c>
      <c r="Q32" s="502" t="s">
        <v>203</v>
      </c>
      <c r="R32" s="481">
        <f>J32</f>
        <v>1612.7</v>
      </c>
      <c r="S32" s="514">
        <v>3</v>
      </c>
      <c r="T32" s="515">
        <f>IF(S32&gt;0,S32*R32,"")</f>
        <v>4838.1000000000004</v>
      </c>
      <c r="U32" s="482">
        <f>R32</f>
        <v>1612.7</v>
      </c>
      <c r="V32" s="514"/>
      <c r="W32" s="515" t="str">
        <f t="shared" ref="W32" si="21">IF(V32&gt;0,V32*U32,"")</f>
        <v/>
      </c>
      <c r="X32" s="507">
        <f>V32+S32</f>
        <v>3</v>
      </c>
      <c r="Y32" s="520">
        <f>M32-X32</f>
        <v>0.84099999999999975</v>
      </c>
      <c r="Z32" s="521">
        <f>Y32/M32</f>
        <v>0.21895339755272059</v>
      </c>
      <c r="AA32" s="471"/>
      <c r="AB32" s="471"/>
      <c r="AC32" s="471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  <c r="AAS32" s="6"/>
      <c r="AAT32" s="6"/>
      <c r="AAU32" s="6"/>
      <c r="AAV32" s="6"/>
      <c r="AAW32" s="6"/>
      <c r="AAX32" s="6"/>
      <c r="AAY32" s="6"/>
      <c r="AAZ32" s="6"/>
      <c r="ABA32" s="6"/>
      <c r="ABB32" s="6"/>
      <c r="ABC32" s="6"/>
      <c r="ABD32" s="6"/>
      <c r="ABE32" s="6"/>
      <c r="ABF32" s="6"/>
      <c r="ABG32" s="6"/>
      <c r="ABH32" s="6"/>
      <c r="ABI32" s="6"/>
      <c r="ABJ32" s="6"/>
      <c r="ABK32" s="6"/>
      <c r="ABL32" s="6"/>
      <c r="ABM32" s="6"/>
      <c r="ABN32" s="6"/>
      <c r="ABO32" s="6"/>
      <c r="ABP32" s="6"/>
      <c r="ABQ32" s="6"/>
      <c r="ABR32" s="6"/>
      <c r="ABS32" s="6"/>
      <c r="ABT32" s="6"/>
      <c r="ABU32" s="6"/>
      <c r="ABV32" s="6"/>
      <c r="ABW32" s="6"/>
      <c r="ABX32" s="6"/>
      <c r="ABY32" s="6"/>
      <c r="ABZ32" s="6"/>
      <c r="ACA32" s="6"/>
      <c r="ACB32" s="6"/>
      <c r="ACC32" s="6"/>
      <c r="ACD32" s="6"/>
      <c r="ACE32" s="6"/>
      <c r="ACF32" s="6"/>
      <c r="ACG32" s="6"/>
      <c r="ACH32" s="6"/>
      <c r="ACI32" s="6"/>
      <c r="ACJ32" s="6"/>
      <c r="ACK32" s="6"/>
      <c r="ACL32" s="6"/>
      <c r="ACM32" s="6"/>
      <c r="ACN32" s="6"/>
      <c r="ACO32" s="6"/>
      <c r="ACP32" s="6"/>
      <c r="ACQ32" s="6"/>
      <c r="ACR32" s="6"/>
      <c r="ACS32" s="6"/>
      <c r="ACT32" s="6"/>
      <c r="ACU32" s="6"/>
      <c r="ACV32" s="6"/>
      <c r="ACW32" s="6"/>
      <c r="ACX32" s="6"/>
      <c r="ACY32" s="6"/>
      <c r="ACZ32" s="6"/>
      <c r="ADA32" s="6"/>
      <c r="ADB32" s="6"/>
      <c r="ADC32" s="6"/>
      <c r="ADD32" s="6"/>
      <c r="ADE32" s="6"/>
      <c r="ADF32" s="6"/>
      <c r="ADG32" s="6"/>
      <c r="ADH32" s="6"/>
      <c r="ADI32" s="6"/>
      <c r="ADJ32" s="6"/>
    </row>
    <row r="33" spans="1:790" s="291" customFormat="1" x14ac:dyDescent="0.3">
      <c r="A33" s="399"/>
      <c r="B33" s="365" t="s">
        <v>29</v>
      </c>
      <c r="C33" s="366"/>
      <c r="D33" s="367"/>
      <c r="E33" s="367"/>
      <c r="F33" s="362"/>
      <c r="G33" s="368"/>
      <c r="H33" s="362">
        <f>(1489*0.2)+(3620*0.4)</f>
        <v>1745.8</v>
      </c>
      <c r="I33" s="369" t="s">
        <v>22</v>
      </c>
      <c r="J33" s="362">
        <f>H33</f>
        <v>1745.8</v>
      </c>
      <c r="K33" s="363">
        <v>4</v>
      </c>
      <c r="L33" s="370">
        <f>J33*K33</f>
        <v>6983.2</v>
      </c>
      <c r="M33" s="490">
        <f t="shared" si="19"/>
        <v>3.34</v>
      </c>
      <c r="N33" s="489">
        <f t="shared" si="20"/>
        <v>5830.9719999999998</v>
      </c>
      <c r="O33" s="308" t="s">
        <v>203</v>
      </c>
      <c r="Q33" s="502" t="s">
        <v>203</v>
      </c>
      <c r="R33" s="481">
        <f t="shared" ref="R33:R34" si="22">J33</f>
        <v>1745.8</v>
      </c>
      <c r="S33" s="514">
        <v>3</v>
      </c>
      <c r="T33" s="515">
        <f t="shared" ref="T33:T34" si="23">IF(S33&gt;0,S33*R33,"")</f>
        <v>5237.3999999999996</v>
      </c>
      <c r="U33" s="482">
        <f t="shared" ref="U33:U34" si="24">R33</f>
        <v>1745.8</v>
      </c>
      <c r="V33" s="514"/>
      <c r="W33" s="515" t="str">
        <f t="shared" ref="W33:W34" si="25">IF(V33&gt;0,V33*U33,"")</f>
        <v/>
      </c>
      <c r="X33" s="507">
        <f t="shared" ref="X33:X34" si="26">V33+S33</f>
        <v>3</v>
      </c>
      <c r="Y33" s="520">
        <f t="shared" ref="Y33:Y34" si="27">M33-X33</f>
        <v>0.33999999999999986</v>
      </c>
      <c r="Z33" s="521">
        <f t="shared" ref="Z33:Z34" si="28">Y33/M33</f>
        <v>0.1017964071856287</v>
      </c>
      <c r="AA33" s="471"/>
      <c r="AB33" s="471"/>
      <c r="AC33" s="471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  <c r="ABA33" s="6"/>
      <c r="ABB33" s="6"/>
      <c r="ABC33" s="6"/>
      <c r="ABD33" s="6"/>
      <c r="ABE33" s="6"/>
      <c r="ABF33" s="6"/>
      <c r="ABG33" s="6"/>
      <c r="ABH33" s="6"/>
      <c r="ABI33" s="6"/>
      <c r="ABJ33" s="6"/>
      <c r="ABK33" s="6"/>
      <c r="ABL33" s="6"/>
      <c r="ABM33" s="6"/>
      <c r="ABN33" s="6"/>
      <c r="ABO33" s="6"/>
      <c r="ABP33" s="6"/>
      <c r="ABQ33" s="6"/>
      <c r="ABR33" s="6"/>
      <c r="ABS33" s="6"/>
      <c r="ABT33" s="6"/>
      <c r="ABU33" s="6"/>
      <c r="ABV33" s="6"/>
      <c r="ABW33" s="6"/>
      <c r="ABX33" s="6"/>
      <c r="ABY33" s="6"/>
      <c r="ABZ33" s="6"/>
      <c r="ACA33" s="6"/>
      <c r="ACB33" s="6"/>
      <c r="ACC33" s="6"/>
      <c r="ACD33" s="6"/>
      <c r="ACE33" s="6"/>
      <c r="ACF33" s="6"/>
      <c r="ACG33" s="6"/>
      <c r="ACH33" s="6"/>
      <c r="ACI33" s="6"/>
      <c r="ACJ33" s="6"/>
      <c r="ACK33" s="6"/>
      <c r="ACL33" s="6"/>
      <c r="ACM33" s="6"/>
      <c r="ACN33" s="6"/>
      <c r="ACO33" s="6"/>
      <c r="ACP33" s="6"/>
      <c r="ACQ33" s="6"/>
      <c r="ACR33" s="6"/>
      <c r="ACS33" s="6"/>
      <c r="ACT33" s="6"/>
      <c r="ACU33" s="6"/>
      <c r="ACV33" s="6"/>
      <c r="ACW33" s="6"/>
      <c r="ACX33" s="6"/>
      <c r="ACY33" s="6"/>
      <c r="ACZ33" s="6"/>
      <c r="ADA33" s="6"/>
      <c r="ADB33" s="6"/>
      <c r="ADC33" s="6"/>
      <c r="ADD33" s="6"/>
      <c r="ADE33" s="6"/>
      <c r="ADF33" s="6"/>
      <c r="ADG33" s="6"/>
      <c r="ADH33" s="6"/>
      <c r="ADI33" s="6"/>
      <c r="ADJ33" s="6"/>
    </row>
    <row r="34" spans="1:790" s="291" customFormat="1" x14ac:dyDescent="0.3">
      <c r="A34" s="399"/>
      <c r="B34" s="365" t="s">
        <v>164</v>
      </c>
      <c r="C34" s="366"/>
      <c r="D34" s="367"/>
      <c r="E34" s="367"/>
      <c r="F34" s="362"/>
      <c r="G34" s="368"/>
      <c r="H34" s="362">
        <f>(5730*0.7)+(555*0.4)+(4745*0.2)</f>
        <v>5182</v>
      </c>
      <c r="I34" s="369" t="s">
        <v>22</v>
      </c>
      <c r="J34" s="400">
        <f>H34</f>
        <v>5182</v>
      </c>
      <c r="K34" s="363">
        <v>3</v>
      </c>
      <c r="L34" s="370">
        <f>J34*K34</f>
        <v>15546</v>
      </c>
      <c r="M34" s="490">
        <f t="shared" si="19"/>
        <v>2.5049999999999999</v>
      </c>
      <c r="N34" s="489">
        <f t="shared" si="20"/>
        <v>12980.91</v>
      </c>
      <c r="O34" s="308" t="s">
        <v>203</v>
      </c>
      <c r="Q34" s="502" t="s">
        <v>203</v>
      </c>
      <c r="R34" s="481">
        <f t="shared" si="22"/>
        <v>5182</v>
      </c>
      <c r="S34" s="514">
        <v>1.5</v>
      </c>
      <c r="T34" s="515">
        <f t="shared" si="23"/>
        <v>7773</v>
      </c>
      <c r="U34" s="482">
        <f t="shared" si="24"/>
        <v>5182</v>
      </c>
      <c r="V34" s="514"/>
      <c r="W34" s="515" t="str">
        <f t="shared" si="25"/>
        <v/>
      </c>
      <c r="X34" s="507">
        <f t="shared" si="26"/>
        <v>1.5</v>
      </c>
      <c r="Y34" s="520">
        <f t="shared" si="27"/>
        <v>1.0049999999999999</v>
      </c>
      <c r="Z34" s="521">
        <f t="shared" si="28"/>
        <v>0.40119760479041916</v>
      </c>
      <c r="AA34" s="471"/>
      <c r="AB34" s="471"/>
      <c r="AC34" s="471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  <c r="AAS34" s="6"/>
      <c r="AAT34" s="6"/>
      <c r="AAU34" s="6"/>
      <c r="AAV34" s="6"/>
      <c r="AAW34" s="6"/>
      <c r="AAX34" s="6"/>
      <c r="AAY34" s="6"/>
      <c r="AAZ34" s="6"/>
      <c r="ABA34" s="6"/>
      <c r="ABB34" s="6"/>
      <c r="ABC34" s="6"/>
      <c r="ABD34" s="6"/>
      <c r="ABE34" s="6"/>
      <c r="ABF34" s="6"/>
      <c r="ABG34" s="6"/>
      <c r="ABH34" s="6"/>
      <c r="ABI34" s="6"/>
      <c r="ABJ34" s="6"/>
      <c r="ABK34" s="6"/>
      <c r="ABL34" s="6"/>
      <c r="ABM34" s="6"/>
      <c r="ABN34" s="6"/>
      <c r="ABO34" s="6"/>
      <c r="ABP34" s="6"/>
      <c r="ABQ34" s="6"/>
      <c r="ABR34" s="6"/>
      <c r="ABS34" s="6"/>
      <c r="ABT34" s="6"/>
      <c r="ABU34" s="6"/>
      <c r="ABV34" s="6"/>
      <c r="ABW34" s="6"/>
      <c r="ABX34" s="6"/>
      <c r="ABY34" s="6"/>
      <c r="ABZ34" s="6"/>
      <c r="ACA34" s="6"/>
      <c r="ACB34" s="6"/>
      <c r="ACC34" s="6"/>
      <c r="ACD34" s="6"/>
      <c r="ACE34" s="6"/>
      <c r="ACF34" s="6"/>
      <c r="ACG34" s="6"/>
      <c r="ACH34" s="6"/>
      <c r="ACI34" s="6"/>
      <c r="ACJ34" s="6"/>
      <c r="ACK34" s="6"/>
      <c r="ACL34" s="6"/>
      <c r="ACM34" s="6"/>
      <c r="ACN34" s="6"/>
      <c r="ACO34" s="6"/>
      <c r="ACP34" s="6"/>
      <c r="ACQ34" s="6"/>
      <c r="ACR34" s="6"/>
      <c r="ACS34" s="6"/>
      <c r="ACT34" s="6"/>
      <c r="ACU34" s="6"/>
      <c r="ACV34" s="6"/>
      <c r="ACW34" s="6"/>
      <c r="ACX34" s="6"/>
      <c r="ACY34" s="6"/>
      <c r="ACZ34" s="6"/>
      <c r="ADA34" s="6"/>
      <c r="ADB34" s="6"/>
      <c r="ADC34" s="6"/>
      <c r="ADD34" s="6"/>
      <c r="ADE34" s="6"/>
      <c r="ADF34" s="6"/>
      <c r="ADG34" s="6"/>
      <c r="ADH34" s="6"/>
      <c r="ADI34" s="6"/>
      <c r="ADJ34" s="6"/>
    </row>
    <row r="35" spans="1:790" s="291" customFormat="1" x14ac:dyDescent="0.3">
      <c r="A35" s="399"/>
      <c r="B35" s="365"/>
      <c r="C35" s="366"/>
      <c r="D35" s="367"/>
      <c r="E35" s="367"/>
      <c r="F35" s="362"/>
      <c r="G35" s="368"/>
      <c r="H35" s="362"/>
      <c r="I35" s="369"/>
      <c r="J35" s="362"/>
      <c r="K35" s="363"/>
      <c r="L35" s="370"/>
      <c r="M35" s="490"/>
      <c r="N35" s="489" t="str">
        <f t="shared" si="20"/>
        <v/>
      </c>
      <c r="O35" s="308"/>
      <c r="Q35" s="497"/>
      <c r="R35" s="481"/>
      <c r="S35" s="514"/>
      <c r="T35" s="515"/>
      <c r="U35" s="482"/>
      <c r="V35" s="514"/>
      <c r="W35" s="515"/>
      <c r="X35" s="507"/>
      <c r="Y35" s="507"/>
      <c r="Z35" s="478"/>
      <c r="AA35" s="471"/>
      <c r="AB35" s="471"/>
      <c r="AC35" s="471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  <c r="ABM35" s="6"/>
      <c r="ABN35" s="6"/>
      <c r="ABO35" s="6"/>
      <c r="ABP35" s="6"/>
      <c r="ABQ35" s="6"/>
      <c r="ABR35" s="6"/>
      <c r="ABS35" s="6"/>
      <c r="ABT35" s="6"/>
      <c r="ABU35" s="6"/>
      <c r="ABV35" s="6"/>
      <c r="ABW35" s="6"/>
      <c r="ABX35" s="6"/>
      <c r="ABY35" s="6"/>
      <c r="ABZ35" s="6"/>
      <c r="ACA35" s="6"/>
      <c r="ACB35" s="6"/>
      <c r="ACC35" s="6"/>
      <c r="ACD35" s="6"/>
      <c r="ACE35" s="6"/>
      <c r="ACF35" s="6"/>
      <c r="ACG35" s="6"/>
      <c r="ACH35" s="6"/>
      <c r="ACI35" s="6"/>
      <c r="ACJ35" s="6"/>
      <c r="ACK35" s="6"/>
      <c r="ACL35" s="6"/>
      <c r="ACM35" s="6"/>
      <c r="ACN35" s="6"/>
      <c r="ACO35" s="6"/>
      <c r="ACP35" s="6"/>
      <c r="ACQ35" s="6"/>
      <c r="ACR35" s="6"/>
      <c r="ACS35" s="6"/>
      <c r="ACT35" s="6"/>
      <c r="ACU35" s="6"/>
      <c r="ACV35" s="6"/>
      <c r="ACW35" s="6"/>
      <c r="ACX35" s="6"/>
      <c r="ACY35" s="6"/>
      <c r="ACZ35" s="6"/>
      <c r="ADA35" s="6"/>
      <c r="ADB35" s="6"/>
      <c r="ADC35" s="6"/>
      <c r="ADD35" s="6"/>
      <c r="ADE35" s="6"/>
      <c r="ADF35" s="6"/>
      <c r="ADG35" s="6"/>
      <c r="ADH35" s="6"/>
      <c r="ADI35" s="6"/>
      <c r="ADJ35" s="6"/>
    </row>
    <row r="36" spans="1:790" s="291" customFormat="1" x14ac:dyDescent="0.3">
      <c r="A36" s="399"/>
      <c r="B36" s="405" t="s">
        <v>31</v>
      </c>
      <c r="C36" s="366"/>
      <c r="D36" s="367"/>
      <c r="E36" s="367"/>
      <c r="F36" s="362"/>
      <c r="G36" s="368"/>
      <c r="H36" s="362"/>
      <c r="I36" s="369"/>
      <c r="J36" s="362"/>
      <c r="K36" s="363"/>
      <c r="L36" s="370"/>
      <c r="M36" s="490"/>
      <c r="N36" s="489" t="str">
        <f t="shared" si="20"/>
        <v/>
      </c>
      <c r="O36" s="308"/>
      <c r="Q36" s="497"/>
      <c r="R36" s="481"/>
      <c r="S36" s="514"/>
      <c r="T36" s="515"/>
      <c r="U36" s="482"/>
      <c r="V36" s="514"/>
      <c r="W36" s="515"/>
      <c r="X36" s="507"/>
      <c r="Y36" s="507"/>
      <c r="Z36" s="478"/>
      <c r="AA36" s="471"/>
      <c r="AB36" s="471"/>
      <c r="AC36" s="471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</row>
    <row r="37" spans="1:790" s="291" customFormat="1" ht="27.6" x14ac:dyDescent="0.3">
      <c r="A37" s="399"/>
      <c r="B37" s="567" t="s">
        <v>32</v>
      </c>
      <c r="C37" s="401"/>
      <c r="D37" s="367"/>
      <c r="E37" s="367"/>
      <c r="F37" s="362"/>
      <c r="G37" s="368"/>
      <c r="H37" s="362"/>
      <c r="I37" s="369"/>
      <c r="J37" s="362"/>
      <c r="K37" s="363"/>
      <c r="L37" s="364"/>
      <c r="M37" s="489"/>
      <c r="N37" s="489" t="str">
        <f t="shared" si="20"/>
        <v/>
      </c>
      <c r="O37" s="308"/>
      <c r="Q37" s="502"/>
      <c r="R37" s="481"/>
      <c r="S37" s="514"/>
      <c r="T37" s="515"/>
      <c r="U37" s="482"/>
      <c r="V37" s="514"/>
      <c r="W37" s="515"/>
      <c r="X37" s="507"/>
      <c r="Y37" s="507"/>
      <c r="Z37" s="478"/>
      <c r="AA37" s="471"/>
      <c r="AB37" s="471"/>
      <c r="AC37" s="471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  <c r="AAS37" s="6"/>
      <c r="AAT37" s="6"/>
      <c r="AAU37" s="6"/>
      <c r="AAV37" s="6"/>
      <c r="AAW37" s="6"/>
      <c r="AAX37" s="6"/>
      <c r="AAY37" s="6"/>
      <c r="AAZ37" s="6"/>
      <c r="ABA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</row>
    <row r="38" spans="1:790" s="291" customFormat="1" x14ac:dyDescent="0.3">
      <c r="A38" s="399"/>
      <c r="B38" s="365" t="s">
        <v>33</v>
      </c>
      <c r="C38" s="366"/>
      <c r="D38" s="367"/>
      <c r="E38" s="367"/>
      <c r="F38" s="362">
        <v>2315</v>
      </c>
      <c r="G38" s="368">
        <v>0.3</v>
      </c>
      <c r="H38" s="362">
        <f>PRODUCT(F38:G38)</f>
        <v>694.5</v>
      </c>
      <c r="I38" s="369" t="s">
        <v>22</v>
      </c>
      <c r="J38" s="362">
        <f>H38</f>
        <v>694.5</v>
      </c>
      <c r="K38" s="363"/>
      <c r="L38" s="364">
        <f>J38*K38</f>
        <v>0</v>
      </c>
      <c r="M38" s="489">
        <f t="shared" ref="M38:M41" si="29">K38*(100%-16.5%)</f>
        <v>0</v>
      </c>
      <c r="N38" s="489" t="str">
        <f t="shared" si="20"/>
        <v/>
      </c>
      <c r="O38" s="308"/>
      <c r="Q38" s="502"/>
      <c r="R38" s="481"/>
      <c r="S38" s="514"/>
      <c r="T38" s="515"/>
      <c r="U38" s="482"/>
      <c r="V38" s="514"/>
      <c r="W38" s="515"/>
      <c r="X38" s="507"/>
      <c r="Y38" s="507"/>
      <c r="Z38" s="478"/>
      <c r="AA38" s="471"/>
      <c r="AB38" s="471"/>
      <c r="AC38" s="471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  <c r="AAS38" s="6"/>
      <c r="AAT38" s="6"/>
      <c r="AAU38" s="6"/>
      <c r="AAV38" s="6"/>
      <c r="AAW38" s="6"/>
      <c r="AAX38" s="6"/>
      <c r="AAY38" s="6"/>
      <c r="AAZ38" s="6"/>
      <c r="ABA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</row>
    <row r="39" spans="1:790" s="291" customFormat="1" x14ac:dyDescent="0.3">
      <c r="A39" s="399"/>
      <c r="B39" s="365" t="s">
        <v>34</v>
      </c>
      <c r="C39" s="366"/>
      <c r="D39" s="367"/>
      <c r="E39" s="367"/>
      <c r="F39" s="362">
        <v>3341</v>
      </c>
      <c r="G39" s="368">
        <v>0.3</v>
      </c>
      <c r="H39" s="362">
        <f>PRODUCT(F39:G39)</f>
        <v>1002.3</v>
      </c>
      <c r="I39" s="369" t="s">
        <v>22</v>
      </c>
      <c r="J39" s="362">
        <f>H39</f>
        <v>1002.3</v>
      </c>
      <c r="K39" s="363"/>
      <c r="L39" s="364">
        <f>J39*K39</f>
        <v>0</v>
      </c>
      <c r="M39" s="489">
        <f t="shared" si="29"/>
        <v>0</v>
      </c>
      <c r="N39" s="489" t="str">
        <f t="shared" si="20"/>
        <v/>
      </c>
      <c r="O39" s="308"/>
      <c r="Q39" s="502"/>
      <c r="R39" s="481"/>
      <c r="S39" s="514"/>
      <c r="T39" s="515"/>
      <c r="U39" s="482"/>
      <c r="V39" s="514"/>
      <c r="W39" s="515"/>
      <c r="X39" s="507"/>
      <c r="Y39" s="507"/>
      <c r="Z39" s="478"/>
      <c r="AA39" s="471"/>
      <c r="AB39" s="471"/>
      <c r="AC39" s="471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</row>
    <row r="40" spans="1:790" s="291" customFormat="1" x14ac:dyDescent="0.3">
      <c r="A40" s="399"/>
      <c r="B40" s="365" t="s">
        <v>35</v>
      </c>
      <c r="C40" s="366"/>
      <c r="D40" s="367"/>
      <c r="E40" s="367"/>
      <c r="F40" s="362">
        <v>10370</v>
      </c>
      <c r="G40" s="368">
        <v>0.4</v>
      </c>
      <c r="H40" s="362">
        <f t="shared" ref="H40" si="30">PRODUCT(F40:G40)</f>
        <v>4148</v>
      </c>
      <c r="I40" s="369" t="s">
        <v>22</v>
      </c>
      <c r="J40" s="362">
        <f>H40</f>
        <v>4148</v>
      </c>
      <c r="K40" s="363"/>
      <c r="L40" s="364">
        <f>J40*K40</f>
        <v>0</v>
      </c>
      <c r="M40" s="489">
        <f t="shared" si="29"/>
        <v>0</v>
      </c>
      <c r="N40" s="489" t="str">
        <f t="shared" si="20"/>
        <v/>
      </c>
      <c r="O40" s="308"/>
      <c r="Q40" s="502"/>
      <c r="R40" s="481"/>
      <c r="S40" s="514"/>
      <c r="T40" s="515"/>
      <c r="U40" s="482"/>
      <c r="V40" s="514"/>
      <c r="W40" s="515"/>
      <c r="X40" s="507"/>
      <c r="Y40" s="507"/>
      <c r="Z40" s="478"/>
      <c r="AA40" s="471"/>
      <c r="AB40" s="471"/>
      <c r="AC40" s="471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</row>
    <row r="41" spans="1:790" s="291" customFormat="1" x14ac:dyDescent="0.3">
      <c r="A41" s="399"/>
      <c r="B41" s="402" t="s">
        <v>36</v>
      </c>
      <c r="C41" s="366"/>
      <c r="D41" s="367"/>
      <c r="E41" s="367"/>
      <c r="F41" s="403">
        <f>SUM(F38:F40)</f>
        <v>16026</v>
      </c>
      <c r="G41" s="403"/>
      <c r="H41" s="403">
        <f>SUM(H38:H40)</f>
        <v>5844.8</v>
      </c>
      <c r="I41" s="404" t="s">
        <v>22</v>
      </c>
      <c r="J41" s="403">
        <f>SUM(J38:J40)</f>
        <v>5844.8</v>
      </c>
      <c r="K41" s="363">
        <v>12.8</v>
      </c>
      <c r="L41" s="364">
        <f>J41*K41</f>
        <v>74813.440000000002</v>
      </c>
      <c r="M41" s="489">
        <f t="shared" si="29"/>
        <v>10.688000000000001</v>
      </c>
      <c r="N41" s="489">
        <f t="shared" si="20"/>
        <v>62469.222400000006</v>
      </c>
      <c r="O41" s="308" t="s">
        <v>203</v>
      </c>
      <c r="Q41" s="502" t="s">
        <v>203</v>
      </c>
      <c r="R41" s="481">
        <f>J41</f>
        <v>5844.8</v>
      </c>
      <c r="S41" s="514">
        <v>3.5</v>
      </c>
      <c r="T41" s="515">
        <f>IF(S41&gt;0,S41*R41,"")</f>
        <v>20456.8</v>
      </c>
      <c r="U41" s="482">
        <f>R41</f>
        <v>5844.8</v>
      </c>
      <c r="V41" s="514">
        <v>5.22</v>
      </c>
      <c r="W41" s="515">
        <f t="shared" ref="W41" si="31">IF(V41&gt;0,V41*U41,"")</f>
        <v>30509.856</v>
      </c>
      <c r="X41" s="507">
        <f>V41+S41</f>
        <v>8.7199999999999989</v>
      </c>
      <c r="Y41" s="520">
        <f>M41-X41</f>
        <v>1.9680000000000017</v>
      </c>
      <c r="Z41" s="521">
        <f>Y41/M41</f>
        <v>0.18413173652694625</v>
      </c>
      <c r="AA41" s="471"/>
      <c r="AB41" s="471"/>
      <c r="AC41" s="471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</row>
    <row r="42" spans="1:790" s="291" customFormat="1" x14ac:dyDescent="0.3">
      <c r="A42" s="399"/>
      <c r="B42" s="365"/>
      <c r="C42" s="366"/>
      <c r="D42" s="367"/>
      <c r="E42" s="367"/>
      <c r="F42" s="362"/>
      <c r="G42" s="368"/>
      <c r="H42" s="362"/>
      <c r="I42" s="369"/>
      <c r="J42" s="362"/>
      <c r="K42" s="363"/>
      <c r="L42" s="370"/>
      <c r="M42" s="490"/>
      <c r="N42" s="489" t="str">
        <f t="shared" si="20"/>
        <v/>
      </c>
      <c r="O42" s="308"/>
      <c r="Q42" s="497"/>
      <c r="R42" s="481"/>
      <c r="S42" s="514"/>
      <c r="T42" s="515"/>
      <c r="U42" s="482"/>
      <c r="V42" s="514"/>
      <c r="W42" s="515"/>
      <c r="X42" s="507"/>
      <c r="Y42" s="507"/>
      <c r="Z42" s="478"/>
      <c r="AA42" s="471"/>
      <c r="AB42" s="471"/>
      <c r="AC42" s="471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</row>
    <row r="43" spans="1:790" s="291" customFormat="1" x14ac:dyDescent="0.3">
      <c r="A43" s="399"/>
      <c r="B43" s="405" t="s">
        <v>37</v>
      </c>
      <c r="C43" s="366"/>
      <c r="D43" s="367"/>
      <c r="E43" s="367"/>
      <c r="F43" s="362"/>
      <c r="G43" s="368"/>
      <c r="H43" s="362"/>
      <c r="I43" s="369"/>
      <c r="J43" s="362"/>
      <c r="K43" s="363"/>
      <c r="L43" s="370"/>
      <c r="M43" s="490"/>
      <c r="N43" s="489" t="str">
        <f t="shared" si="20"/>
        <v/>
      </c>
      <c r="O43" s="308"/>
      <c r="Q43" s="497"/>
      <c r="R43" s="481"/>
      <c r="S43" s="514"/>
      <c r="T43" s="515"/>
      <c r="U43" s="482"/>
      <c r="V43" s="514"/>
      <c r="W43" s="515"/>
      <c r="X43" s="507"/>
      <c r="Y43" s="507"/>
      <c r="Z43" s="478"/>
      <c r="AA43" s="471"/>
      <c r="AB43" s="471"/>
      <c r="AC43" s="471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</row>
    <row r="44" spans="1:790" s="291" customFormat="1" x14ac:dyDescent="0.3">
      <c r="A44" s="399"/>
      <c r="B44" s="365" t="s">
        <v>38</v>
      </c>
      <c r="C44" s="366"/>
      <c r="D44" s="367"/>
      <c r="E44" s="367"/>
      <c r="F44" s="362">
        <v>2148</v>
      </c>
      <c r="G44" s="368">
        <v>0.3</v>
      </c>
      <c r="H44" s="362">
        <f>PRODUCT(F44:G44)</f>
        <v>644.4</v>
      </c>
      <c r="I44" s="369" t="s">
        <v>22</v>
      </c>
      <c r="J44" s="362">
        <f t="shared" ref="J44:J50" si="32">H44</f>
        <v>644.4</v>
      </c>
      <c r="K44" s="363"/>
      <c r="L44" s="364">
        <f t="shared" ref="L44:L51" si="33">J44*K44</f>
        <v>0</v>
      </c>
      <c r="M44" s="489">
        <f t="shared" ref="M44:M51" si="34">K44*(100%-16.5%)</f>
        <v>0</v>
      </c>
      <c r="N44" s="489" t="str">
        <f t="shared" si="20"/>
        <v/>
      </c>
      <c r="O44" s="308"/>
      <c r="Q44" s="502"/>
      <c r="R44" s="481"/>
      <c r="S44" s="514"/>
      <c r="T44" s="515"/>
      <c r="U44" s="482"/>
      <c r="V44" s="514"/>
      <c r="W44" s="515"/>
      <c r="X44" s="507"/>
      <c r="Y44" s="507"/>
      <c r="Z44" s="478"/>
      <c r="AA44" s="471"/>
      <c r="AB44" s="471"/>
      <c r="AC44" s="471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</row>
    <row r="45" spans="1:790" s="291" customFormat="1" x14ac:dyDescent="0.3">
      <c r="A45" s="399"/>
      <c r="B45" s="365" t="s">
        <v>39</v>
      </c>
      <c r="C45" s="366"/>
      <c r="D45" s="367"/>
      <c r="E45" s="367"/>
      <c r="F45" s="362">
        <v>2064</v>
      </c>
      <c r="G45" s="368">
        <v>0.3</v>
      </c>
      <c r="H45" s="362">
        <f t="shared" ref="H45:H48" si="35">PRODUCT(F45:G45)</f>
        <v>619.19999999999993</v>
      </c>
      <c r="I45" s="369" t="s">
        <v>22</v>
      </c>
      <c r="J45" s="362">
        <f t="shared" si="32"/>
        <v>619.19999999999993</v>
      </c>
      <c r="K45" s="363"/>
      <c r="L45" s="364">
        <f t="shared" si="33"/>
        <v>0</v>
      </c>
      <c r="M45" s="489">
        <f t="shared" si="34"/>
        <v>0</v>
      </c>
      <c r="N45" s="489" t="str">
        <f t="shared" si="20"/>
        <v/>
      </c>
      <c r="O45" s="308"/>
      <c r="Q45" s="502"/>
      <c r="R45" s="481"/>
      <c r="S45" s="514"/>
      <c r="T45" s="515"/>
      <c r="U45" s="482"/>
      <c r="V45" s="514"/>
      <c r="W45" s="515"/>
      <c r="X45" s="507"/>
      <c r="Y45" s="507"/>
      <c r="Z45" s="478"/>
      <c r="AA45" s="471"/>
      <c r="AB45" s="471"/>
      <c r="AC45" s="471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  <c r="AAS45" s="6"/>
      <c r="AAT45" s="6"/>
      <c r="AAU45" s="6"/>
      <c r="AAV45" s="6"/>
      <c r="AAW45" s="6"/>
      <c r="AAX45" s="6"/>
      <c r="AAY45" s="6"/>
      <c r="AAZ45" s="6"/>
      <c r="ABA45" s="6"/>
      <c r="ABB45" s="6"/>
      <c r="ABC45" s="6"/>
      <c r="ABD45" s="6"/>
      <c r="ABE45" s="6"/>
      <c r="ABF45" s="6"/>
      <c r="ABG45" s="6"/>
      <c r="ABH45" s="6"/>
      <c r="ABI45" s="6"/>
      <c r="ABJ45" s="6"/>
      <c r="ABK45" s="6"/>
      <c r="ABL45" s="6"/>
      <c r="ABM45" s="6"/>
      <c r="ABN45" s="6"/>
      <c r="ABO45" s="6"/>
      <c r="ABP45" s="6"/>
      <c r="ABQ45" s="6"/>
      <c r="ABR45" s="6"/>
      <c r="ABS45" s="6"/>
      <c r="ABT45" s="6"/>
      <c r="ABU45" s="6"/>
      <c r="ABV45" s="6"/>
      <c r="ABW45" s="6"/>
      <c r="ABX45" s="6"/>
      <c r="ABY45" s="6"/>
      <c r="ABZ45" s="6"/>
      <c r="ACA45" s="6"/>
      <c r="ACB45" s="6"/>
      <c r="ACC45" s="6"/>
      <c r="ACD45" s="6"/>
      <c r="ACE45" s="6"/>
      <c r="ACF45" s="6"/>
      <c r="ACG45" s="6"/>
      <c r="ACH45" s="6"/>
      <c r="ACI45" s="6"/>
      <c r="ACJ45" s="6"/>
      <c r="ACK45" s="6"/>
      <c r="ACL45" s="6"/>
      <c r="ACM45" s="6"/>
      <c r="ACN45" s="6"/>
      <c r="ACO45" s="6"/>
      <c r="ACP45" s="6"/>
      <c r="ACQ45" s="6"/>
      <c r="ACR45" s="6"/>
      <c r="ACS45" s="6"/>
      <c r="ACT45" s="6"/>
      <c r="ACU45" s="6"/>
      <c r="ACV45" s="6"/>
      <c r="ACW45" s="6"/>
      <c r="ACX45" s="6"/>
      <c r="ACY45" s="6"/>
      <c r="ACZ45" s="6"/>
      <c r="ADA45" s="6"/>
      <c r="ADB45" s="6"/>
      <c r="ADC45" s="6"/>
      <c r="ADD45" s="6"/>
      <c r="ADE45" s="6"/>
      <c r="ADF45" s="6"/>
      <c r="ADG45" s="6"/>
      <c r="ADH45" s="6"/>
      <c r="ADI45" s="6"/>
      <c r="ADJ45" s="6"/>
    </row>
    <row r="46" spans="1:790" s="291" customFormat="1" x14ac:dyDescent="0.3">
      <c r="A46" s="399"/>
      <c r="B46" s="365" t="s">
        <v>40</v>
      </c>
      <c r="C46" s="366"/>
      <c r="D46" s="367"/>
      <c r="E46" s="367"/>
      <c r="F46" s="362">
        <v>246</v>
      </c>
      <c r="G46" s="368">
        <v>0.3</v>
      </c>
      <c r="H46" s="362">
        <f t="shared" si="35"/>
        <v>73.8</v>
      </c>
      <c r="I46" s="369" t="s">
        <v>22</v>
      </c>
      <c r="J46" s="362">
        <f t="shared" si="32"/>
        <v>73.8</v>
      </c>
      <c r="K46" s="363"/>
      <c r="L46" s="364">
        <f t="shared" si="33"/>
        <v>0</v>
      </c>
      <c r="M46" s="489">
        <f t="shared" si="34"/>
        <v>0</v>
      </c>
      <c r="N46" s="489" t="str">
        <f t="shared" si="20"/>
        <v/>
      </c>
      <c r="O46" s="308"/>
      <c r="Q46" s="502"/>
      <c r="R46" s="481"/>
      <c r="S46" s="514"/>
      <c r="T46" s="515"/>
      <c r="U46" s="482"/>
      <c r="V46" s="514"/>
      <c r="W46" s="515"/>
      <c r="X46" s="507"/>
      <c r="Y46" s="507"/>
      <c r="Z46" s="478"/>
      <c r="AA46" s="471"/>
      <c r="AB46" s="471"/>
      <c r="AC46" s="471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</row>
    <row r="47" spans="1:790" s="291" customFormat="1" x14ac:dyDescent="0.3">
      <c r="A47" s="399"/>
      <c r="B47" s="365" t="s">
        <v>41</v>
      </c>
      <c r="C47" s="366"/>
      <c r="D47" s="367"/>
      <c r="E47" s="367"/>
      <c r="F47" s="362">
        <v>107</v>
      </c>
      <c r="G47" s="368">
        <v>0.24</v>
      </c>
      <c r="H47" s="362">
        <f t="shared" si="35"/>
        <v>25.68</v>
      </c>
      <c r="I47" s="369" t="s">
        <v>22</v>
      </c>
      <c r="J47" s="362">
        <f t="shared" si="32"/>
        <v>25.68</v>
      </c>
      <c r="K47" s="363"/>
      <c r="L47" s="364">
        <f t="shared" si="33"/>
        <v>0</v>
      </c>
      <c r="M47" s="489">
        <f t="shared" si="34"/>
        <v>0</v>
      </c>
      <c r="N47" s="489" t="str">
        <f t="shared" si="20"/>
        <v/>
      </c>
      <c r="O47" s="308"/>
      <c r="Q47" s="502"/>
      <c r="R47" s="481"/>
      <c r="S47" s="514"/>
      <c r="T47" s="515"/>
      <c r="U47" s="482"/>
      <c r="V47" s="514"/>
      <c r="W47" s="515"/>
      <c r="X47" s="507"/>
      <c r="Y47" s="507"/>
      <c r="Z47" s="478"/>
      <c r="AA47" s="471"/>
      <c r="AB47" s="471"/>
      <c r="AC47" s="471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  <c r="AAS47" s="6"/>
      <c r="AAT47" s="6"/>
      <c r="AAU47" s="6"/>
      <c r="AAV47" s="6"/>
      <c r="AAW47" s="6"/>
      <c r="AAX47" s="6"/>
      <c r="AAY47" s="6"/>
      <c r="AAZ47" s="6"/>
      <c r="ABA47" s="6"/>
      <c r="ABB47" s="6"/>
      <c r="ABC47" s="6"/>
      <c r="ABD47" s="6"/>
      <c r="ABE47" s="6"/>
      <c r="ABF47" s="6"/>
      <c r="ABG47" s="6"/>
      <c r="ABH47" s="6"/>
      <c r="ABI47" s="6"/>
      <c r="ABJ47" s="6"/>
      <c r="ABK47" s="6"/>
      <c r="ABL47" s="6"/>
      <c r="ABM47" s="6"/>
      <c r="ABN47" s="6"/>
      <c r="ABO47" s="6"/>
      <c r="ABP47" s="6"/>
      <c r="ABQ47" s="6"/>
      <c r="ABR47" s="6"/>
      <c r="ABS47" s="6"/>
      <c r="ABT47" s="6"/>
      <c r="ABU47" s="6"/>
      <c r="ABV47" s="6"/>
      <c r="ABW47" s="6"/>
      <c r="ABX47" s="6"/>
      <c r="ABY47" s="6"/>
      <c r="ABZ47" s="6"/>
      <c r="ACA47" s="6"/>
      <c r="ACB47" s="6"/>
      <c r="ACC47" s="6"/>
      <c r="ACD47" s="6"/>
      <c r="ACE47" s="6"/>
      <c r="ACF47" s="6"/>
      <c r="ACG47" s="6"/>
      <c r="ACH47" s="6"/>
      <c r="ACI47" s="6"/>
      <c r="ACJ47" s="6"/>
      <c r="ACK47" s="6"/>
      <c r="ACL47" s="6"/>
      <c r="ACM47" s="6"/>
      <c r="ACN47" s="6"/>
      <c r="ACO47" s="6"/>
      <c r="ACP47" s="6"/>
      <c r="ACQ47" s="6"/>
      <c r="ACR47" s="6"/>
      <c r="ACS47" s="6"/>
      <c r="ACT47" s="6"/>
      <c r="ACU47" s="6"/>
      <c r="ACV47" s="6"/>
      <c r="ACW47" s="6"/>
      <c r="ACX47" s="6"/>
      <c r="ACY47" s="6"/>
      <c r="ACZ47" s="6"/>
      <c r="ADA47" s="6"/>
      <c r="ADB47" s="6"/>
      <c r="ADC47" s="6"/>
      <c r="ADD47" s="6"/>
      <c r="ADE47" s="6"/>
      <c r="ADF47" s="6"/>
      <c r="ADG47" s="6"/>
      <c r="ADH47" s="6"/>
      <c r="ADI47" s="6"/>
      <c r="ADJ47" s="6"/>
    </row>
    <row r="48" spans="1:790" s="291" customFormat="1" x14ac:dyDescent="0.3">
      <c r="A48" s="399"/>
      <c r="B48" s="365" t="s">
        <v>42</v>
      </c>
      <c r="C48" s="366"/>
      <c r="D48" s="367"/>
      <c r="E48" s="367"/>
      <c r="F48" s="362">
        <v>405</v>
      </c>
      <c r="G48" s="368">
        <v>0.3</v>
      </c>
      <c r="H48" s="362">
        <f t="shared" si="35"/>
        <v>121.5</v>
      </c>
      <c r="I48" s="369" t="s">
        <v>22</v>
      </c>
      <c r="J48" s="362">
        <f t="shared" si="32"/>
        <v>121.5</v>
      </c>
      <c r="K48" s="363"/>
      <c r="L48" s="364">
        <f t="shared" si="33"/>
        <v>0</v>
      </c>
      <c r="M48" s="489">
        <f t="shared" si="34"/>
        <v>0</v>
      </c>
      <c r="N48" s="489" t="str">
        <f t="shared" si="20"/>
        <v/>
      </c>
      <c r="O48" s="308"/>
      <c r="Q48" s="502"/>
      <c r="R48" s="481"/>
      <c r="S48" s="514"/>
      <c r="T48" s="515"/>
      <c r="U48" s="482"/>
      <c r="V48" s="514"/>
      <c r="W48" s="515"/>
      <c r="X48" s="507"/>
      <c r="Y48" s="507"/>
      <c r="Z48" s="478"/>
      <c r="AA48" s="471"/>
      <c r="AB48" s="471"/>
      <c r="AC48" s="471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  <c r="AAV48" s="6"/>
      <c r="AAW48" s="6"/>
      <c r="AAX48" s="6"/>
      <c r="AAY48" s="6"/>
      <c r="AAZ48" s="6"/>
      <c r="ABA48" s="6"/>
      <c r="ABB48" s="6"/>
      <c r="ABC48" s="6"/>
      <c r="ABD48" s="6"/>
      <c r="ABE48" s="6"/>
      <c r="ABF48" s="6"/>
      <c r="ABG48" s="6"/>
      <c r="ABH48" s="6"/>
      <c r="ABI48" s="6"/>
      <c r="ABJ48" s="6"/>
      <c r="ABK48" s="6"/>
      <c r="ABL48" s="6"/>
      <c r="ABM48" s="6"/>
      <c r="ABN48" s="6"/>
      <c r="ABO48" s="6"/>
      <c r="ABP48" s="6"/>
      <c r="ABQ48" s="6"/>
      <c r="ABR48" s="6"/>
      <c r="ABS48" s="6"/>
      <c r="ABT48" s="6"/>
      <c r="ABU48" s="6"/>
      <c r="ABV48" s="6"/>
      <c r="ABW48" s="6"/>
      <c r="ABX48" s="6"/>
      <c r="ABY48" s="6"/>
      <c r="ABZ48" s="6"/>
      <c r="ACA48" s="6"/>
      <c r="ACB48" s="6"/>
      <c r="ACC48" s="6"/>
      <c r="ACD48" s="6"/>
      <c r="ACE48" s="6"/>
      <c r="ACF48" s="6"/>
      <c r="ACG48" s="6"/>
      <c r="ACH48" s="6"/>
      <c r="ACI48" s="6"/>
      <c r="ACJ48" s="6"/>
      <c r="ACK48" s="6"/>
      <c r="ACL48" s="6"/>
      <c r="ACM48" s="6"/>
      <c r="ACN48" s="6"/>
      <c r="ACO48" s="6"/>
      <c r="ACP48" s="6"/>
      <c r="ACQ48" s="6"/>
      <c r="ACR48" s="6"/>
      <c r="ACS48" s="6"/>
      <c r="ACT48" s="6"/>
      <c r="ACU48" s="6"/>
      <c r="ACV48" s="6"/>
      <c r="ACW48" s="6"/>
      <c r="ACX48" s="6"/>
      <c r="ACY48" s="6"/>
      <c r="ACZ48" s="6"/>
      <c r="ADA48" s="6"/>
      <c r="ADB48" s="6"/>
      <c r="ADC48" s="6"/>
      <c r="ADD48" s="6"/>
      <c r="ADE48" s="6"/>
      <c r="ADF48" s="6"/>
      <c r="ADG48" s="6"/>
      <c r="ADH48" s="6"/>
      <c r="ADI48" s="6"/>
      <c r="ADJ48" s="6"/>
    </row>
    <row r="49" spans="1:26" x14ac:dyDescent="0.3">
      <c r="A49" s="399"/>
      <c r="B49" s="365" t="s">
        <v>43</v>
      </c>
      <c r="C49" s="366"/>
      <c r="D49" s="367"/>
      <c r="E49" s="367"/>
      <c r="F49" s="362">
        <v>10263</v>
      </c>
      <c r="G49" s="368">
        <v>0.39</v>
      </c>
      <c r="H49" s="362">
        <f>PRODUCT(F49:G49)</f>
        <v>4002.57</v>
      </c>
      <c r="I49" s="369" t="s">
        <v>22</v>
      </c>
      <c r="J49" s="362">
        <f t="shared" si="32"/>
        <v>4002.57</v>
      </c>
      <c r="K49" s="363"/>
      <c r="L49" s="364">
        <f t="shared" si="33"/>
        <v>0</v>
      </c>
      <c r="M49" s="489">
        <f t="shared" si="34"/>
        <v>0</v>
      </c>
      <c r="N49" s="489" t="str">
        <f t="shared" si="20"/>
        <v/>
      </c>
      <c r="O49" s="308"/>
      <c r="Q49" s="502"/>
      <c r="R49" s="481"/>
      <c r="S49" s="514"/>
      <c r="T49" s="515"/>
      <c r="U49" s="482"/>
      <c r="V49" s="514"/>
      <c r="W49" s="515"/>
    </row>
    <row r="50" spans="1:26" x14ac:dyDescent="0.3">
      <c r="A50" s="399"/>
      <c r="B50" s="365" t="s">
        <v>44</v>
      </c>
      <c r="C50" s="366"/>
      <c r="D50" s="367"/>
      <c r="E50" s="367"/>
      <c r="F50" s="362">
        <v>383</v>
      </c>
      <c r="G50" s="368">
        <v>0.3</v>
      </c>
      <c r="H50" s="362">
        <f>PRODUCT(F50:G50)</f>
        <v>114.89999999999999</v>
      </c>
      <c r="I50" s="369" t="s">
        <v>22</v>
      </c>
      <c r="J50" s="362">
        <f t="shared" si="32"/>
        <v>114.89999999999999</v>
      </c>
      <c r="K50" s="363"/>
      <c r="L50" s="364">
        <f t="shared" si="33"/>
        <v>0</v>
      </c>
      <c r="M50" s="489">
        <f t="shared" si="34"/>
        <v>0</v>
      </c>
      <c r="N50" s="489" t="str">
        <f t="shared" si="20"/>
        <v/>
      </c>
      <c r="O50" s="308"/>
      <c r="Q50" s="502"/>
      <c r="R50" s="481"/>
      <c r="S50" s="514"/>
      <c r="T50" s="515"/>
      <c r="U50" s="482"/>
      <c r="V50" s="514"/>
      <c r="W50" s="515"/>
    </row>
    <row r="51" spans="1:26" x14ac:dyDescent="0.3">
      <c r="A51" s="399"/>
      <c r="B51" s="402" t="s">
        <v>45</v>
      </c>
      <c r="C51" s="366"/>
      <c r="D51" s="367"/>
      <c r="E51" s="367"/>
      <c r="F51" s="403">
        <f>SUM(F44:F50)</f>
        <v>15616</v>
      </c>
      <c r="G51" s="403"/>
      <c r="H51" s="403">
        <f>SUM(H44:H50)</f>
        <v>5602.0499999999993</v>
      </c>
      <c r="I51" s="404" t="s">
        <v>22</v>
      </c>
      <c r="J51" s="403">
        <f>SUM(J44:J50)</f>
        <v>5602.0499999999993</v>
      </c>
      <c r="K51" s="363">
        <v>15</v>
      </c>
      <c r="L51" s="364">
        <f t="shared" si="33"/>
        <v>84030.749999999985</v>
      </c>
      <c r="M51" s="489">
        <f t="shared" si="34"/>
        <v>12.524999999999999</v>
      </c>
      <c r="N51" s="489">
        <f t="shared" si="20"/>
        <v>70165.67624999999</v>
      </c>
      <c r="O51" s="308" t="s">
        <v>203</v>
      </c>
      <c r="Q51" s="502" t="s">
        <v>203</v>
      </c>
      <c r="R51" s="481">
        <f>J51</f>
        <v>5602.0499999999993</v>
      </c>
      <c r="S51" s="514">
        <v>3</v>
      </c>
      <c r="T51" s="515">
        <f>IF(S51&gt;0,S51*R51,"")</f>
        <v>16806.149999999998</v>
      </c>
      <c r="U51" s="482">
        <f>R51</f>
        <v>5602.0499999999993</v>
      </c>
      <c r="V51" s="524">
        <f>7*1.8</f>
        <v>12.6</v>
      </c>
      <c r="W51" s="515">
        <f t="shared" ref="W51" si="36">IF(V51&gt;0,V51*U51,"")</f>
        <v>70585.829999999987</v>
      </c>
      <c r="X51" s="507">
        <f>V51+S51</f>
        <v>15.6</v>
      </c>
      <c r="Y51" s="520">
        <f>M51-X51</f>
        <v>-3.0750000000000011</v>
      </c>
      <c r="Z51" s="584">
        <f>Y51/M51</f>
        <v>-0.24550898203592825</v>
      </c>
    </row>
    <row r="52" spans="1:26" x14ac:dyDescent="0.3">
      <c r="A52" s="399"/>
      <c r="B52" s="365"/>
      <c r="C52" s="366"/>
      <c r="D52" s="367"/>
      <c r="E52" s="367"/>
      <c r="F52" s="362"/>
      <c r="G52" s="368"/>
      <c r="H52" s="362"/>
      <c r="I52" s="369"/>
      <c r="J52" s="362"/>
      <c r="K52" s="363"/>
      <c r="L52" s="370"/>
      <c r="M52" s="490"/>
      <c r="N52" s="489" t="str">
        <f t="shared" si="20"/>
        <v/>
      </c>
      <c r="O52" s="308"/>
      <c r="Q52" s="497"/>
      <c r="R52" s="481"/>
      <c r="S52" s="514"/>
      <c r="T52" s="515"/>
      <c r="U52" s="482"/>
      <c r="V52" s="514"/>
      <c r="W52" s="515"/>
    </row>
    <row r="53" spans="1:26" x14ac:dyDescent="0.3">
      <c r="A53" s="399"/>
      <c r="B53" s="405" t="s">
        <v>46</v>
      </c>
      <c r="C53" s="366"/>
      <c r="D53" s="367"/>
      <c r="E53" s="367"/>
      <c r="F53" s="362"/>
      <c r="G53" s="368"/>
      <c r="H53" s="362"/>
      <c r="I53" s="369"/>
      <c r="J53" s="362"/>
      <c r="K53" s="363"/>
      <c r="L53" s="370"/>
      <c r="M53" s="490"/>
      <c r="N53" s="489" t="str">
        <f t="shared" si="20"/>
        <v/>
      </c>
      <c r="O53" s="308"/>
      <c r="Q53" s="497"/>
      <c r="R53" s="481"/>
      <c r="S53" s="514"/>
      <c r="T53" s="515"/>
      <c r="U53" s="482"/>
      <c r="V53" s="514"/>
      <c r="W53" s="515"/>
    </row>
    <row r="54" spans="1:26" x14ac:dyDescent="0.3">
      <c r="A54" s="399"/>
      <c r="B54" s="365" t="s">
        <v>47</v>
      </c>
      <c r="C54" s="366"/>
      <c r="D54" s="367"/>
      <c r="E54" s="367"/>
      <c r="F54" s="362">
        <v>2148</v>
      </c>
      <c r="G54" s="368">
        <v>0.05</v>
      </c>
      <c r="H54" s="362">
        <f>PRODUCT(F54:G54)</f>
        <v>107.4</v>
      </c>
      <c r="I54" s="369" t="s">
        <v>22</v>
      </c>
      <c r="J54" s="362">
        <f t="shared" ref="J54:J59" si="37">H54</f>
        <v>107.4</v>
      </c>
      <c r="K54" s="363"/>
      <c r="L54" s="364">
        <f t="shared" ref="L54:L60" si="38">J54*K54</f>
        <v>0</v>
      </c>
      <c r="M54" s="489">
        <f t="shared" ref="M54:M60" si="39">K54*(100%-16.5%)</f>
        <v>0</v>
      </c>
      <c r="N54" s="489" t="str">
        <f t="shared" si="20"/>
        <v/>
      </c>
      <c r="O54" s="308"/>
      <c r="Q54" s="502"/>
      <c r="R54" s="481"/>
      <c r="S54" s="514"/>
      <c r="T54" s="515"/>
      <c r="U54" s="482"/>
      <c r="V54" s="514"/>
      <c r="W54" s="515"/>
    </row>
    <row r="55" spans="1:26" x14ac:dyDescent="0.3">
      <c r="A55" s="399"/>
      <c r="B55" s="365" t="s">
        <v>48</v>
      </c>
      <c r="C55" s="366"/>
      <c r="D55" s="367"/>
      <c r="E55" s="367"/>
      <c r="F55" s="362">
        <v>2064</v>
      </c>
      <c r="G55" s="368">
        <v>0.1</v>
      </c>
      <c r="H55" s="362">
        <f t="shared" ref="H55:H57" si="40">PRODUCT(F55:G55)</f>
        <v>206.4</v>
      </c>
      <c r="I55" s="369" t="s">
        <v>22</v>
      </c>
      <c r="J55" s="362">
        <f t="shared" si="37"/>
        <v>206.4</v>
      </c>
      <c r="K55" s="363"/>
      <c r="L55" s="364">
        <f t="shared" si="38"/>
        <v>0</v>
      </c>
      <c r="M55" s="489">
        <f t="shared" si="39"/>
        <v>0</v>
      </c>
      <c r="N55" s="489" t="str">
        <f t="shared" si="20"/>
        <v/>
      </c>
      <c r="O55" s="308"/>
      <c r="Q55" s="502"/>
      <c r="R55" s="481"/>
      <c r="S55" s="514"/>
      <c r="T55" s="515"/>
      <c r="U55" s="482"/>
      <c r="V55" s="514"/>
      <c r="W55" s="515"/>
    </row>
    <row r="56" spans="1:26" x14ac:dyDescent="0.3">
      <c r="A56" s="399"/>
      <c r="B56" s="365" t="s">
        <v>49</v>
      </c>
      <c r="C56" s="366"/>
      <c r="D56" s="367"/>
      <c r="E56" s="367"/>
      <c r="F56" s="362">
        <v>246</v>
      </c>
      <c r="G56" s="368">
        <v>0.05</v>
      </c>
      <c r="H56" s="362">
        <f t="shared" si="40"/>
        <v>12.3</v>
      </c>
      <c r="I56" s="369" t="s">
        <v>22</v>
      </c>
      <c r="J56" s="362">
        <f t="shared" si="37"/>
        <v>12.3</v>
      </c>
      <c r="K56" s="363"/>
      <c r="L56" s="364">
        <f t="shared" si="38"/>
        <v>0</v>
      </c>
      <c r="M56" s="489">
        <f t="shared" si="39"/>
        <v>0</v>
      </c>
      <c r="N56" s="489" t="str">
        <f t="shared" si="20"/>
        <v/>
      </c>
      <c r="O56" s="308"/>
      <c r="Q56" s="502"/>
      <c r="R56" s="481"/>
      <c r="S56" s="514"/>
      <c r="T56" s="515"/>
      <c r="U56" s="482"/>
      <c r="V56" s="514"/>
      <c r="W56" s="515"/>
    </row>
    <row r="57" spans="1:26" x14ac:dyDescent="0.3">
      <c r="A57" s="399"/>
      <c r="B57" s="365" t="s">
        <v>50</v>
      </c>
      <c r="C57" s="366"/>
      <c r="D57" s="367"/>
      <c r="E57" s="367"/>
      <c r="F57" s="362">
        <v>405</v>
      </c>
      <c r="G57" s="368">
        <v>0.05</v>
      </c>
      <c r="H57" s="362">
        <f t="shared" si="40"/>
        <v>20.25</v>
      </c>
      <c r="I57" s="369" t="s">
        <v>22</v>
      </c>
      <c r="J57" s="362">
        <f t="shared" si="37"/>
        <v>20.25</v>
      </c>
      <c r="K57" s="363"/>
      <c r="L57" s="364">
        <f t="shared" si="38"/>
        <v>0</v>
      </c>
      <c r="M57" s="489">
        <f t="shared" si="39"/>
        <v>0</v>
      </c>
      <c r="N57" s="489" t="str">
        <f t="shared" si="20"/>
        <v/>
      </c>
      <c r="O57" s="308"/>
      <c r="Q57" s="502"/>
      <c r="R57" s="481"/>
      <c r="S57" s="514"/>
      <c r="T57" s="515"/>
      <c r="U57" s="482"/>
      <c r="V57" s="514"/>
      <c r="W57" s="515"/>
    </row>
    <row r="58" spans="1:26" x14ac:dyDescent="0.3">
      <c r="A58" s="399"/>
      <c r="B58" s="365" t="s">
        <v>51</v>
      </c>
      <c r="C58" s="366"/>
      <c r="D58" s="367"/>
      <c r="E58" s="367"/>
      <c r="F58" s="362">
        <v>10263</v>
      </c>
      <c r="G58" s="368">
        <v>0.05</v>
      </c>
      <c r="H58" s="362">
        <f>PRODUCT(F58:G58)</f>
        <v>513.15</v>
      </c>
      <c r="I58" s="369" t="s">
        <v>22</v>
      </c>
      <c r="J58" s="362">
        <f t="shared" si="37"/>
        <v>513.15</v>
      </c>
      <c r="K58" s="363"/>
      <c r="L58" s="364">
        <f t="shared" si="38"/>
        <v>0</v>
      </c>
      <c r="M58" s="489">
        <f t="shared" si="39"/>
        <v>0</v>
      </c>
      <c r="N58" s="489" t="str">
        <f t="shared" si="20"/>
        <v/>
      </c>
      <c r="O58" s="308"/>
      <c r="Q58" s="502"/>
      <c r="R58" s="481"/>
      <c r="S58" s="514"/>
      <c r="T58" s="515"/>
      <c r="U58" s="482"/>
      <c r="V58" s="514"/>
      <c r="W58" s="515"/>
    </row>
    <row r="59" spans="1:26" x14ac:dyDescent="0.3">
      <c r="A59" s="399"/>
      <c r="B59" s="365" t="s">
        <v>52</v>
      </c>
      <c r="C59" s="366"/>
      <c r="D59" s="367"/>
      <c r="E59" s="367"/>
      <c r="F59" s="362">
        <v>383</v>
      </c>
      <c r="G59" s="368">
        <v>0.1</v>
      </c>
      <c r="H59" s="362">
        <f>PRODUCT(F59:G59)</f>
        <v>38.300000000000004</v>
      </c>
      <c r="I59" s="369" t="s">
        <v>22</v>
      </c>
      <c r="J59" s="362">
        <f t="shared" si="37"/>
        <v>38.300000000000004</v>
      </c>
      <c r="K59" s="363"/>
      <c r="L59" s="364">
        <f t="shared" si="38"/>
        <v>0</v>
      </c>
      <c r="M59" s="489">
        <f t="shared" si="39"/>
        <v>0</v>
      </c>
      <c r="N59" s="489" t="str">
        <f t="shared" si="20"/>
        <v/>
      </c>
      <c r="O59" s="308"/>
      <c r="Q59" s="502"/>
      <c r="R59" s="481"/>
      <c r="S59" s="514"/>
      <c r="T59" s="515"/>
      <c r="U59" s="482"/>
      <c r="V59" s="514"/>
      <c r="W59" s="515"/>
    </row>
    <row r="60" spans="1:26" x14ac:dyDescent="0.3">
      <c r="A60" s="399"/>
      <c r="B60" s="402" t="s">
        <v>53</v>
      </c>
      <c r="C60" s="366"/>
      <c r="D60" s="367"/>
      <c r="E60" s="367"/>
      <c r="F60" s="403">
        <f>SUM(F54:F59)</f>
        <v>15509</v>
      </c>
      <c r="G60" s="403"/>
      <c r="H60" s="403">
        <f>SUM(H54:H59)</f>
        <v>897.8</v>
      </c>
      <c r="I60" s="404" t="s">
        <v>22</v>
      </c>
      <c r="J60" s="403">
        <f>SUM(J54:J59)</f>
        <v>897.8</v>
      </c>
      <c r="K60" s="363">
        <v>36</v>
      </c>
      <c r="L60" s="364">
        <f t="shared" si="38"/>
        <v>32320.799999999999</v>
      </c>
      <c r="M60" s="489">
        <f t="shared" si="39"/>
        <v>30.06</v>
      </c>
      <c r="N60" s="489">
        <f t="shared" si="20"/>
        <v>26987.867999999999</v>
      </c>
      <c r="O60" s="308" t="s">
        <v>203</v>
      </c>
      <c r="Q60" s="502" t="s">
        <v>203</v>
      </c>
      <c r="R60" s="481">
        <f>J60</f>
        <v>897.8</v>
      </c>
      <c r="S60" s="514">
        <v>4</v>
      </c>
      <c r="T60" s="515">
        <f>IF(S60&gt;0,S60*R60,"")</f>
        <v>3591.2</v>
      </c>
      <c r="U60" s="482">
        <f>R60</f>
        <v>897.8</v>
      </c>
      <c r="V60" s="586">
        <f>14*1.8</f>
        <v>25.2</v>
      </c>
      <c r="W60" s="515">
        <f t="shared" ref="W60" si="41">IF(V60&gt;0,V60*U60,"")</f>
        <v>22624.559999999998</v>
      </c>
      <c r="X60" s="507">
        <f>V60+S60</f>
        <v>29.2</v>
      </c>
      <c r="Y60" s="520">
        <f>M60-X60</f>
        <v>0.85999999999999943</v>
      </c>
      <c r="Z60" s="521">
        <f>Y60/M60</f>
        <v>2.86094477711244E-2</v>
      </c>
    </row>
    <row r="61" spans="1:26" x14ac:dyDescent="0.3">
      <c r="A61" s="399"/>
      <c r="B61" s="365"/>
      <c r="C61" s="366"/>
      <c r="D61" s="367"/>
      <c r="E61" s="367"/>
      <c r="F61" s="362"/>
      <c r="G61" s="368"/>
      <c r="H61" s="362"/>
      <c r="I61" s="369"/>
      <c r="J61" s="362"/>
      <c r="K61" s="363"/>
      <c r="L61" s="370"/>
      <c r="M61" s="490"/>
      <c r="N61" s="489" t="str">
        <f t="shared" si="20"/>
        <v/>
      </c>
      <c r="O61" s="308"/>
      <c r="Q61" s="497"/>
      <c r="R61" s="481"/>
      <c r="S61" s="514"/>
      <c r="T61" s="515"/>
      <c r="U61" s="482"/>
      <c r="V61" s="514"/>
      <c r="W61" s="515"/>
    </row>
    <row r="62" spans="1:26" x14ac:dyDescent="0.3">
      <c r="A62" s="399"/>
      <c r="B62" s="405" t="s">
        <v>54</v>
      </c>
      <c r="C62" s="366"/>
      <c r="D62" s="367"/>
      <c r="E62" s="367"/>
      <c r="F62" s="362"/>
      <c r="G62" s="368"/>
      <c r="H62" s="362"/>
      <c r="I62" s="369"/>
      <c r="J62" s="362"/>
      <c r="K62" s="363"/>
      <c r="L62" s="370"/>
      <c r="M62" s="490"/>
      <c r="N62" s="489" t="str">
        <f t="shared" si="20"/>
        <v/>
      </c>
      <c r="O62" s="308"/>
      <c r="Q62" s="497"/>
      <c r="R62" s="481"/>
      <c r="S62" s="514"/>
      <c r="T62" s="515"/>
      <c r="U62" s="482"/>
      <c r="V62" s="514"/>
      <c r="W62" s="515"/>
    </row>
    <row r="63" spans="1:26" x14ac:dyDescent="0.3">
      <c r="A63" s="399"/>
      <c r="B63" s="365" t="s">
        <v>55</v>
      </c>
      <c r="C63" s="366"/>
      <c r="D63" s="367"/>
      <c r="E63" s="367"/>
      <c r="F63" s="362">
        <v>2064</v>
      </c>
      <c r="G63" s="368"/>
      <c r="H63" s="362">
        <f t="shared" ref="H63:H67" si="42">PRODUCT(F63:G63)</f>
        <v>2064</v>
      </c>
      <c r="I63" s="369" t="s">
        <v>20</v>
      </c>
      <c r="J63" s="362">
        <f>H63</f>
        <v>2064</v>
      </c>
      <c r="K63" s="363">
        <v>10.28</v>
      </c>
      <c r="L63" s="370">
        <f>J63*K63</f>
        <v>21217.919999999998</v>
      </c>
      <c r="M63" s="490">
        <f t="shared" ref="M63:M67" si="43">K63*(100%-16.5%)</f>
        <v>8.5837999999999983</v>
      </c>
      <c r="N63" s="489">
        <f t="shared" si="20"/>
        <v>17716.963199999998</v>
      </c>
      <c r="O63" s="308" t="s">
        <v>203</v>
      </c>
      <c r="Q63" s="502" t="s">
        <v>203</v>
      </c>
      <c r="R63" s="481">
        <f t="shared" ref="R63:R67" si="44">J63</f>
        <v>2064</v>
      </c>
      <c r="S63" s="514"/>
      <c r="T63" s="515" t="str">
        <f t="shared" ref="T63:T67" si="45">IF(S63&gt;0,S63*R63,"")</f>
        <v/>
      </c>
      <c r="U63" s="482">
        <f t="shared" ref="U63:U67" si="46">R63</f>
        <v>2064</v>
      </c>
      <c r="V63" s="524"/>
      <c r="W63" s="515" t="str">
        <f t="shared" ref="W63:W67" si="47">IF(V63&gt;0,V63*U63,"")</f>
        <v/>
      </c>
      <c r="X63" s="507">
        <f t="shared" ref="X63:X65" si="48">V63+S63</f>
        <v>0</v>
      </c>
      <c r="Y63" s="520">
        <f t="shared" ref="Y63:Y65" si="49">M63-X63</f>
        <v>8.5837999999999983</v>
      </c>
      <c r="Z63" s="521">
        <f t="shared" ref="Z63:Z65" si="50">Y63/M63</f>
        <v>1</v>
      </c>
    </row>
    <row r="64" spans="1:26" x14ac:dyDescent="0.3">
      <c r="A64" s="399"/>
      <c r="B64" s="365" t="s">
        <v>56</v>
      </c>
      <c r="C64" s="366"/>
      <c r="D64" s="367"/>
      <c r="E64" s="367"/>
      <c r="F64" s="362">
        <f>F63</f>
        <v>2064</v>
      </c>
      <c r="G64" s="368"/>
      <c r="H64" s="362">
        <f t="shared" si="42"/>
        <v>2064</v>
      </c>
      <c r="I64" s="369" t="s">
        <v>20</v>
      </c>
      <c r="J64" s="362">
        <f>H64</f>
        <v>2064</v>
      </c>
      <c r="K64" s="363">
        <v>19.5</v>
      </c>
      <c r="L64" s="370">
        <f>J64*K64</f>
        <v>40248</v>
      </c>
      <c r="M64" s="490">
        <f t="shared" si="43"/>
        <v>16.282499999999999</v>
      </c>
      <c r="N64" s="489">
        <f t="shared" si="20"/>
        <v>33607.079999999994</v>
      </c>
      <c r="O64" s="308" t="s">
        <v>203</v>
      </c>
      <c r="Q64" s="502" t="s">
        <v>203</v>
      </c>
      <c r="R64" s="481">
        <f t="shared" si="44"/>
        <v>2064</v>
      </c>
      <c r="S64" s="514"/>
      <c r="T64" s="515" t="str">
        <f t="shared" si="45"/>
        <v/>
      </c>
      <c r="U64" s="482">
        <f t="shared" si="46"/>
        <v>2064</v>
      </c>
      <c r="V64" s="524"/>
      <c r="W64" s="515" t="str">
        <f t="shared" si="47"/>
        <v/>
      </c>
      <c r="X64" s="507">
        <f t="shared" si="48"/>
        <v>0</v>
      </c>
      <c r="Y64" s="520">
        <f t="shared" si="49"/>
        <v>16.282499999999999</v>
      </c>
      <c r="Z64" s="521">
        <f t="shared" si="50"/>
        <v>1</v>
      </c>
    </row>
    <row r="65" spans="1:29" x14ac:dyDescent="0.3">
      <c r="A65" s="399"/>
      <c r="B65" s="365" t="s">
        <v>57</v>
      </c>
      <c r="C65" s="366"/>
      <c r="D65" s="367"/>
      <c r="E65" s="367"/>
      <c r="F65" s="362">
        <f>F56</f>
        <v>246</v>
      </c>
      <c r="G65" s="368"/>
      <c r="H65" s="362">
        <f t="shared" si="42"/>
        <v>246</v>
      </c>
      <c r="I65" s="369" t="s">
        <v>20</v>
      </c>
      <c r="J65" s="362">
        <f>H65</f>
        <v>246</v>
      </c>
      <c r="K65" s="363">
        <v>38.5</v>
      </c>
      <c r="L65" s="370">
        <f>J65*K65</f>
        <v>9471</v>
      </c>
      <c r="M65" s="490">
        <f t="shared" si="43"/>
        <v>32.147500000000001</v>
      </c>
      <c r="N65" s="489">
        <f t="shared" si="20"/>
        <v>7908.2849999999999</v>
      </c>
      <c r="O65" s="308" t="s">
        <v>203</v>
      </c>
      <c r="Q65" s="502" t="s">
        <v>203</v>
      </c>
      <c r="R65" s="481">
        <f t="shared" si="44"/>
        <v>246</v>
      </c>
      <c r="S65" s="514"/>
      <c r="T65" s="515" t="str">
        <f t="shared" si="45"/>
        <v/>
      </c>
      <c r="U65" s="482">
        <f t="shared" si="46"/>
        <v>246</v>
      </c>
      <c r="V65" s="514">
        <v>22.98</v>
      </c>
      <c r="W65" s="515">
        <f t="shared" si="47"/>
        <v>5653.08</v>
      </c>
      <c r="X65" s="507">
        <f t="shared" si="48"/>
        <v>22.98</v>
      </c>
      <c r="Y65" s="520">
        <f t="shared" si="49"/>
        <v>9.1675000000000004</v>
      </c>
      <c r="Z65" s="521">
        <f t="shared" si="50"/>
        <v>0.28516991990045881</v>
      </c>
      <c r="AA65" s="525" t="s">
        <v>233</v>
      </c>
    </row>
    <row r="66" spans="1:29" ht="27.6" x14ac:dyDescent="0.3">
      <c r="A66" s="399"/>
      <c r="B66" s="365" t="s">
        <v>58</v>
      </c>
      <c r="C66" s="366"/>
      <c r="D66" s="367"/>
      <c r="E66" s="367"/>
      <c r="F66" s="362">
        <f>F57</f>
        <v>405</v>
      </c>
      <c r="G66" s="368"/>
      <c r="H66" s="362">
        <f t="shared" si="42"/>
        <v>405</v>
      </c>
      <c r="I66" s="369" t="s">
        <v>20</v>
      </c>
      <c r="J66" s="362">
        <f>H66</f>
        <v>405</v>
      </c>
      <c r="K66" s="363">
        <v>35</v>
      </c>
      <c r="L66" s="370">
        <f>J66*K66</f>
        <v>14175</v>
      </c>
      <c r="M66" s="490">
        <f t="shared" si="43"/>
        <v>29.224999999999998</v>
      </c>
      <c r="N66" s="489">
        <f t="shared" si="20"/>
        <v>11836.125</v>
      </c>
      <c r="O66" s="308" t="s">
        <v>203</v>
      </c>
      <c r="Q66" s="502" t="s">
        <v>203</v>
      </c>
      <c r="R66" s="481">
        <f t="shared" si="44"/>
        <v>405</v>
      </c>
      <c r="S66" s="514"/>
      <c r="T66" s="515" t="str">
        <f t="shared" si="45"/>
        <v/>
      </c>
      <c r="U66" s="482">
        <f t="shared" si="46"/>
        <v>405</v>
      </c>
      <c r="V66" s="526">
        <v>25.98</v>
      </c>
      <c r="W66" s="515">
        <f t="shared" si="47"/>
        <v>10521.9</v>
      </c>
      <c r="AA66" s="525" t="s">
        <v>233</v>
      </c>
    </row>
    <row r="67" spans="1:29" x14ac:dyDescent="0.3">
      <c r="A67" s="399"/>
      <c r="B67" s="365" t="s">
        <v>59</v>
      </c>
      <c r="C67" s="366"/>
      <c r="D67" s="367"/>
      <c r="E67" s="367"/>
      <c r="F67" s="362">
        <f>F57</f>
        <v>405</v>
      </c>
      <c r="G67" s="368"/>
      <c r="H67" s="362">
        <f t="shared" si="42"/>
        <v>405</v>
      </c>
      <c r="I67" s="369" t="s">
        <v>20</v>
      </c>
      <c r="J67" s="362">
        <f>H67</f>
        <v>405</v>
      </c>
      <c r="K67" s="363">
        <v>18</v>
      </c>
      <c r="L67" s="370">
        <f>J67*K67</f>
        <v>7290</v>
      </c>
      <c r="M67" s="490">
        <f t="shared" si="43"/>
        <v>15.03</v>
      </c>
      <c r="N67" s="489">
        <f t="shared" si="20"/>
        <v>6087.15</v>
      </c>
      <c r="O67" s="308" t="s">
        <v>203</v>
      </c>
      <c r="Q67" s="502" t="s">
        <v>203</v>
      </c>
      <c r="R67" s="481">
        <f t="shared" si="44"/>
        <v>405</v>
      </c>
      <c r="S67" s="514">
        <v>1.5</v>
      </c>
      <c r="T67" s="515">
        <f t="shared" si="45"/>
        <v>607.5</v>
      </c>
      <c r="U67" s="482">
        <f t="shared" si="46"/>
        <v>405</v>
      </c>
      <c r="V67" s="514">
        <v>9.6940000000000008</v>
      </c>
      <c r="W67" s="515">
        <f t="shared" si="47"/>
        <v>3926.07</v>
      </c>
      <c r="X67" s="507">
        <f>V67+S67</f>
        <v>11.194000000000001</v>
      </c>
      <c r="Y67" s="520">
        <f>M67-X67</f>
        <v>3.8359999999999985</v>
      </c>
      <c r="Z67" s="521">
        <f>Y67/M67</f>
        <v>0.25522288755821682</v>
      </c>
      <c r="AA67" s="525" t="s">
        <v>233</v>
      </c>
    </row>
    <row r="68" spans="1:29" x14ac:dyDescent="0.3">
      <c r="A68" s="399"/>
      <c r="B68" s="365"/>
      <c r="C68" s="366"/>
      <c r="D68" s="367"/>
      <c r="E68" s="367"/>
      <c r="F68" s="362"/>
      <c r="G68" s="368"/>
      <c r="H68" s="362"/>
      <c r="I68" s="369"/>
      <c r="J68" s="362"/>
      <c r="K68" s="363"/>
      <c r="L68" s="370"/>
      <c r="M68" s="490"/>
      <c r="N68" s="489" t="str">
        <f t="shared" si="20"/>
        <v/>
      </c>
      <c r="O68" s="308"/>
      <c r="Q68" s="497"/>
      <c r="R68" s="481"/>
      <c r="S68" s="514"/>
      <c r="T68" s="515"/>
      <c r="U68" s="482"/>
      <c r="V68" s="514"/>
      <c r="W68" s="515"/>
    </row>
    <row r="69" spans="1:29" x14ac:dyDescent="0.3">
      <c r="A69" s="399"/>
      <c r="B69" s="365" t="s">
        <v>60</v>
      </c>
      <c r="C69" s="366"/>
      <c r="D69" s="367">
        <v>106.3</v>
      </c>
      <c r="E69" s="367"/>
      <c r="F69" s="362"/>
      <c r="G69" s="368"/>
      <c r="H69" s="362">
        <f>PRODUCT(C69:G69)</f>
        <v>106.3</v>
      </c>
      <c r="I69" s="369" t="s">
        <v>19</v>
      </c>
      <c r="J69" s="362">
        <f>H69</f>
        <v>106.3</v>
      </c>
      <c r="K69" s="363">
        <v>32</v>
      </c>
      <c r="L69" s="370">
        <f>J69*K69</f>
        <v>3401.6</v>
      </c>
      <c r="M69" s="490">
        <f t="shared" ref="M69:M71" si="51">K69*(100%-16.5%)</f>
        <v>26.72</v>
      </c>
      <c r="N69" s="489">
        <f t="shared" si="20"/>
        <v>2840.3359999999998</v>
      </c>
      <c r="O69" s="308" t="s">
        <v>203</v>
      </c>
      <c r="Q69" s="502" t="s">
        <v>203</v>
      </c>
      <c r="R69" s="481">
        <f t="shared" ref="R69:R71" si="52">J69</f>
        <v>106.3</v>
      </c>
      <c r="S69" s="514"/>
      <c r="T69" s="515" t="str">
        <f t="shared" ref="T69:T71" si="53">IF(S69&gt;0,S69*R69,"")</f>
        <v/>
      </c>
      <c r="U69" s="482">
        <f t="shared" ref="U69:U71" si="54">R69</f>
        <v>106.3</v>
      </c>
      <c r="V69" s="514">
        <v>19.23</v>
      </c>
      <c r="W69" s="515">
        <f t="shared" ref="W69:W71" si="55">IF(V69&gt;0,V69*U69,"")</f>
        <v>2044.1489999999999</v>
      </c>
      <c r="X69" s="507">
        <f t="shared" ref="X69:X70" si="56">V69+S69</f>
        <v>19.23</v>
      </c>
      <c r="Y69" s="520">
        <f t="shared" ref="Y69:Y70" si="57">M69-X69</f>
        <v>7.4899999999999984</v>
      </c>
      <c r="Z69" s="521">
        <f t="shared" ref="Z69:Z70" si="58">Y69/M69</f>
        <v>0.28031437125748498</v>
      </c>
      <c r="AA69" s="525" t="s">
        <v>233</v>
      </c>
    </row>
    <row r="70" spans="1:29" x14ac:dyDescent="0.3">
      <c r="A70" s="399"/>
      <c r="B70" s="365" t="s">
        <v>61</v>
      </c>
      <c r="C70" s="366"/>
      <c r="D70" s="367">
        <v>294.2</v>
      </c>
      <c r="E70" s="367"/>
      <c r="F70" s="362"/>
      <c r="G70" s="368"/>
      <c r="H70" s="362">
        <f>PRODUCT(C70:G70)</f>
        <v>294.2</v>
      </c>
      <c r="I70" s="369" t="s">
        <v>19</v>
      </c>
      <c r="J70" s="362">
        <f>H70</f>
        <v>294.2</v>
      </c>
      <c r="K70" s="363">
        <v>34</v>
      </c>
      <c r="L70" s="370">
        <f>J70*K70</f>
        <v>10002.799999999999</v>
      </c>
      <c r="M70" s="490">
        <f t="shared" si="51"/>
        <v>28.39</v>
      </c>
      <c r="N70" s="489">
        <f t="shared" si="20"/>
        <v>8352.3379999999997</v>
      </c>
      <c r="O70" s="308" t="s">
        <v>203</v>
      </c>
      <c r="Q70" s="502" t="s">
        <v>203</v>
      </c>
      <c r="R70" s="481">
        <f t="shared" si="52"/>
        <v>294.2</v>
      </c>
      <c r="S70" s="514"/>
      <c r="T70" s="515" t="str">
        <f t="shared" si="53"/>
        <v/>
      </c>
      <c r="U70" s="482">
        <f t="shared" si="54"/>
        <v>294.2</v>
      </c>
      <c r="V70" s="514">
        <v>19.23</v>
      </c>
      <c r="W70" s="515">
        <f t="shared" si="55"/>
        <v>5657.4660000000003</v>
      </c>
      <c r="X70" s="507">
        <f t="shared" si="56"/>
        <v>19.23</v>
      </c>
      <c r="Y70" s="520">
        <f t="shared" si="57"/>
        <v>9.16</v>
      </c>
      <c r="Z70" s="521">
        <f t="shared" si="58"/>
        <v>0.32264882000704476</v>
      </c>
      <c r="AA70" s="525" t="s">
        <v>233</v>
      </c>
    </row>
    <row r="71" spans="1:29" x14ac:dyDescent="0.3">
      <c r="A71" s="399"/>
      <c r="B71" s="365" t="s">
        <v>62</v>
      </c>
      <c r="C71" s="366"/>
      <c r="D71" s="367">
        <v>367.3</v>
      </c>
      <c r="E71" s="367"/>
      <c r="F71" s="362"/>
      <c r="G71" s="368"/>
      <c r="H71" s="362">
        <f>PRODUCT(C71:G71)</f>
        <v>367.3</v>
      </c>
      <c r="I71" s="369" t="s">
        <v>19</v>
      </c>
      <c r="J71" s="362">
        <f>H71</f>
        <v>367.3</v>
      </c>
      <c r="K71" s="363">
        <v>56</v>
      </c>
      <c r="L71" s="370">
        <f>J71*K71</f>
        <v>20568.8</v>
      </c>
      <c r="M71" s="490">
        <f t="shared" si="51"/>
        <v>46.76</v>
      </c>
      <c r="N71" s="489">
        <f t="shared" si="20"/>
        <v>17174.948</v>
      </c>
      <c r="O71" s="308" t="s">
        <v>203</v>
      </c>
      <c r="Q71" s="502" t="s">
        <v>203</v>
      </c>
      <c r="R71" s="481">
        <f t="shared" si="52"/>
        <v>367.3</v>
      </c>
      <c r="S71" s="514"/>
      <c r="T71" s="515" t="str">
        <f t="shared" si="53"/>
        <v/>
      </c>
      <c r="U71" s="482">
        <f t="shared" si="54"/>
        <v>367.3</v>
      </c>
      <c r="V71" s="514">
        <v>36.840000000000003</v>
      </c>
      <c r="W71" s="515">
        <f t="shared" si="55"/>
        <v>13531.332000000002</v>
      </c>
      <c r="X71" s="507">
        <f>V71+S71</f>
        <v>36.840000000000003</v>
      </c>
      <c r="Y71" s="520">
        <f>M71-X71</f>
        <v>9.9199999999999946</v>
      </c>
      <c r="Z71" s="521">
        <f>Y71/M71</f>
        <v>0.21214713430282281</v>
      </c>
      <c r="AA71" s="525" t="s">
        <v>233</v>
      </c>
    </row>
    <row r="72" spans="1:29" x14ac:dyDescent="0.3">
      <c r="A72" s="399"/>
      <c r="B72" s="365"/>
      <c r="C72" s="366"/>
      <c r="D72" s="367"/>
      <c r="E72" s="367"/>
      <c r="F72" s="362"/>
      <c r="G72" s="368"/>
      <c r="H72" s="362"/>
      <c r="I72" s="369"/>
      <c r="J72" s="362"/>
      <c r="K72" s="363"/>
      <c r="L72" s="370"/>
      <c r="M72" s="490"/>
      <c r="N72" s="489" t="str">
        <f t="shared" si="20"/>
        <v/>
      </c>
      <c r="O72" s="308"/>
      <c r="Q72" s="497"/>
      <c r="R72" s="481"/>
      <c r="S72" s="514"/>
      <c r="T72" s="515"/>
      <c r="U72" s="482"/>
      <c r="V72" s="514"/>
      <c r="W72" s="515"/>
    </row>
    <row r="73" spans="1:29" x14ac:dyDescent="0.3">
      <c r="A73" s="399"/>
      <c r="B73" s="365" t="s">
        <v>63</v>
      </c>
      <c r="C73" s="366">
        <v>1</v>
      </c>
      <c r="D73" s="367"/>
      <c r="E73" s="367"/>
      <c r="F73" s="362"/>
      <c r="G73" s="368"/>
      <c r="H73" s="362">
        <f>PRODUCT(C73:G73)</f>
        <v>1</v>
      </c>
      <c r="I73" s="369" t="s">
        <v>30</v>
      </c>
      <c r="J73" s="362">
        <f>H73</f>
        <v>1</v>
      </c>
      <c r="K73" s="363">
        <v>8000</v>
      </c>
      <c r="L73" s="370">
        <f>J73*K73</f>
        <v>8000</v>
      </c>
      <c r="M73" s="490">
        <f t="shared" ref="M73:M74" si="59">K73*(100%-16.5%)</f>
        <v>6680</v>
      </c>
      <c r="N73" s="489">
        <f t="shared" si="20"/>
        <v>6680</v>
      </c>
      <c r="O73" s="308"/>
      <c r="Q73" s="497"/>
      <c r="R73" s="481">
        <f t="shared" ref="R73:R74" si="60">J73</f>
        <v>1</v>
      </c>
      <c r="S73" s="514"/>
      <c r="T73" s="515" t="str">
        <f t="shared" ref="T73:T74" si="61">IF(S73&gt;0,S73*R73,"")</f>
        <v/>
      </c>
      <c r="U73" s="482">
        <f t="shared" ref="U73:U74" si="62">R73</f>
        <v>1</v>
      </c>
      <c r="V73" s="586">
        <f>M73</f>
        <v>6680</v>
      </c>
      <c r="W73" s="515">
        <f t="shared" ref="W73:W74" si="63">IF(V73&gt;0,V73*U73,"")</f>
        <v>6680</v>
      </c>
      <c r="X73" s="507">
        <f>V73+S73</f>
        <v>6680</v>
      </c>
      <c r="Y73" s="520">
        <f>M73-X73</f>
        <v>0</v>
      </c>
      <c r="Z73" s="521">
        <f>Y73/M73</f>
        <v>0</v>
      </c>
    </row>
    <row r="74" spans="1:29" x14ac:dyDescent="0.3">
      <c r="A74" s="399"/>
      <c r="B74" s="365" t="s">
        <v>64</v>
      </c>
      <c r="C74" s="366">
        <v>25</v>
      </c>
      <c r="D74" s="367"/>
      <c r="E74" s="367"/>
      <c r="F74" s="362"/>
      <c r="G74" s="368"/>
      <c r="H74" s="362">
        <f>PRODUCT(C74:G74)</f>
        <v>25</v>
      </c>
      <c r="I74" s="369" t="s">
        <v>187</v>
      </c>
      <c r="J74" s="362">
        <v>1</v>
      </c>
      <c r="K74" s="363">
        <f>25*180</f>
        <v>4500</v>
      </c>
      <c r="L74" s="370">
        <f>J74*K74</f>
        <v>4500</v>
      </c>
      <c r="M74" s="490">
        <f t="shared" si="59"/>
        <v>3757.5</v>
      </c>
      <c r="N74" s="489">
        <f t="shared" si="20"/>
        <v>3757.5</v>
      </c>
      <c r="O74" s="308"/>
      <c r="Q74" s="497"/>
      <c r="R74" s="481">
        <f t="shared" si="60"/>
        <v>1</v>
      </c>
      <c r="S74" s="514"/>
      <c r="T74" s="515" t="str">
        <f t="shared" si="61"/>
        <v/>
      </c>
      <c r="U74" s="482">
        <f t="shared" si="62"/>
        <v>1</v>
      </c>
      <c r="V74" s="586">
        <f>M74</f>
        <v>3757.5</v>
      </c>
      <c r="W74" s="515">
        <f t="shared" si="63"/>
        <v>3757.5</v>
      </c>
      <c r="X74" s="507">
        <f>V74+S74</f>
        <v>3757.5</v>
      </c>
      <c r="Y74" s="520">
        <f>M74-X74</f>
        <v>0</v>
      </c>
      <c r="Z74" s="521">
        <f>Y74/M74</f>
        <v>0</v>
      </c>
    </row>
    <row r="75" spans="1:29" x14ac:dyDescent="0.3">
      <c r="A75" s="399"/>
      <c r="B75" s="365"/>
      <c r="C75" s="366"/>
      <c r="D75" s="367"/>
      <c r="E75" s="367"/>
      <c r="F75" s="362"/>
      <c r="G75" s="368"/>
      <c r="H75" s="362"/>
      <c r="I75" s="369"/>
      <c r="J75" s="362"/>
      <c r="K75" s="363"/>
      <c r="L75" s="370"/>
      <c r="M75" s="490"/>
      <c r="N75" s="489" t="str">
        <f t="shared" si="20"/>
        <v/>
      </c>
      <c r="O75" s="308"/>
      <c r="Q75" s="497"/>
      <c r="R75" s="481"/>
      <c r="S75" s="514"/>
      <c r="T75" s="515"/>
      <c r="U75" s="482"/>
      <c r="V75" s="514"/>
      <c r="W75" s="515"/>
    </row>
    <row r="76" spans="1:29" x14ac:dyDescent="0.3">
      <c r="A76" s="399"/>
      <c r="B76" s="405" t="s">
        <v>163</v>
      </c>
      <c r="C76" s="366"/>
      <c r="D76" s="367"/>
      <c r="E76" s="367"/>
      <c r="F76" s="362"/>
      <c r="G76" s="368"/>
      <c r="H76" s="362"/>
      <c r="I76" s="369"/>
      <c r="J76" s="362"/>
      <c r="K76" s="363"/>
      <c r="L76" s="370"/>
      <c r="M76" s="490"/>
      <c r="N76" s="489" t="str">
        <f t="shared" si="20"/>
        <v/>
      </c>
      <c r="O76" s="308"/>
      <c r="Q76" s="497"/>
      <c r="R76" s="481"/>
      <c r="S76" s="514"/>
      <c r="T76" s="515"/>
      <c r="U76" s="482"/>
      <c r="V76" s="514"/>
      <c r="W76" s="515"/>
    </row>
    <row r="77" spans="1:29" ht="27.6" x14ac:dyDescent="0.3">
      <c r="A77" s="399"/>
      <c r="B77" s="365" t="s">
        <v>188</v>
      </c>
      <c r="C77" s="366"/>
      <c r="D77" s="367"/>
      <c r="E77" s="367"/>
      <c r="F77" s="362">
        <v>342</v>
      </c>
      <c r="G77" s="368"/>
      <c r="H77" s="362">
        <f>PRODUCT(C77:G77)</f>
        <v>342</v>
      </c>
      <c r="I77" s="369" t="s">
        <v>20</v>
      </c>
      <c r="J77" s="362">
        <f>H77</f>
        <v>342</v>
      </c>
      <c r="K77" s="363">
        <v>43</v>
      </c>
      <c r="L77" s="370">
        <f>J77*K77</f>
        <v>14706</v>
      </c>
      <c r="M77" s="490">
        <f>K77*(100%-16.5%)</f>
        <v>35.905000000000001</v>
      </c>
      <c r="N77" s="489">
        <f t="shared" si="20"/>
        <v>12279.51</v>
      </c>
      <c r="O77" s="308"/>
      <c r="Q77" s="497"/>
      <c r="R77" s="481">
        <f t="shared" ref="R77" si="64">J77</f>
        <v>342</v>
      </c>
      <c r="S77" s="514">
        <v>1</v>
      </c>
      <c r="T77" s="515">
        <f t="shared" ref="T77" si="65">IF(S77&gt;0,S77*R77,"")</f>
        <v>342</v>
      </c>
      <c r="U77" s="482">
        <f t="shared" ref="U77" si="66">R77</f>
        <v>342</v>
      </c>
      <c r="V77" s="514">
        <f>(3500+(342*0.2*1.8*10)+(0.03+0.08)*342*160)/342</f>
        <v>31.433918128654977</v>
      </c>
      <c r="W77" s="515">
        <f t="shared" ref="W77" si="67">IF(V77&gt;0,V77*U77,"")</f>
        <v>10750.400000000001</v>
      </c>
      <c r="X77" s="507">
        <f>V77+S77</f>
        <v>32.43391812865498</v>
      </c>
      <c r="Y77" s="520">
        <f>M77-X77</f>
        <v>3.4710818713450209</v>
      </c>
      <c r="Z77" s="521">
        <f>Y77/M77</f>
        <v>9.6674052954881518E-2</v>
      </c>
    </row>
    <row r="78" spans="1:29" ht="15" thickBot="1" x14ac:dyDescent="0.35">
      <c r="A78" s="399"/>
      <c r="B78" s="365"/>
      <c r="C78" s="366"/>
      <c r="D78" s="367"/>
      <c r="E78" s="367"/>
      <c r="F78" s="362"/>
      <c r="G78" s="368"/>
      <c r="H78" s="362"/>
      <c r="I78" s="369"/>
      <c r="J78" s="362"/>
      <c r="K78" s="406"/>
      <c r="L78" s="370"/>
      <c r="M78" s="490"/>
      <c r="N78" s="490"/>
      <c r="O78" s="308"/>
      <c r="Q78" s="497"/>
      <c r="R78" s="481"/>
      <c r="S78" s="514"/>
      <c r="T78" s="515"/>
      <c r="U78" s="482"/>
      <c r="V78" s="514"/>
      <c r="W78" s="515"/>
    </row>
    <row r="79" spans="1:29" ht="15" thickBot="1" x14ac:dyDescent="0.35">
      <c r="A79" s="379" t="s">
        <v>66</v>
      </c>
      <c r="B79" s="564" t="s">
        <v>65</v>
      </c>
      <c r="C79" s="380"/>
      <c r="D79" s="382"/>
      <c r="E79" s="382"/>
      <c r="F79" s="382"/>
      <c r="G79" s="382"/>
      <c r="H79" s="382"/>
      <c r="I79" s="381"/>
      <c r="J79" s="382"/>
      <c r="K79" s="383"/>
      <c r="L79" s="407">
        <f>SUM(L32:L78)</f>
        <v>374693.72999999992</v>
      </c>
      <c r="M79" s="494"/>
      <c r="N79" s="494">
        <f>SUM(N31:N78)</f>
        <v>312869.26454999996</v>
      </c>
      <c r="O79" s="408"/>
      <c r="Q79" s="494"/>
      <c r="R79" s="384"/>
      <c r="S79" s="516"/>
      <c r="T79" s="516">
        <f>SUM(T31:T78)</f>
        <v>59652.149999999994</v>
      </c>
      <c r="U79" s="384"/>
      <c r="V79" s="516"/>
      <c r="W79" s="516">
        <f>SUM(W31:W78)</f>
        <v>186242.14300000001</v>
      </c>
      <c r="AA79" s="516">
        <f>SUM(R79:W79)</f>
        <v>245894.29300000001</v>
      </c>
      <c r="AB79" s="518">
        <f>N79-AA79</f>
        <v>66974.971549999958</v>
      </c>
      <c r="AC79" s="519">
        <f>AB79/L79</f>
        <v>0.17874590949253399</v>
      </c>
    </row>
    <row r="80" spans="1:29" ht="15" thickBot="1" x14ac:dyDescent="0.35">
      <c r="A80" s="409"/>
      <c r="B80" s="568"/>
      <c r="C80" s="410"/>
      <c r="D80" s="411"/>
      <c r="E80" s="411"/>
      <c r="F80" s="411"/>
      <c r="G80" s="411"/>
      <c r="H80" s="411"/>
      <c r="I80" s="412"/>
      <c r="J80" s="411"/>
      <c r="K80" s="413"/>
      <c r="L80" s="414"/>
      <c r="M80" s="495"/>
      <c r="N80" s="495"/>
      <c r="O80" s="408"/>
      <c r="Q80" s="495"/>
      <c r="R80" s="481"/>
      <c r="S80" s="514"/>
      <c r="T80" s="515"/>
      <c r="U80" s="482"/>
      <c r="V80" s="514"/>
      <c r="W80" s="515"/>
    </row>
    <row r="81" spans="1:26" ht="15" thickBot="1" x14ac:dyDescent="0.35">
      <c r="A81" s="415" t="s">
        <v>177</v>
      </c>
      <c r="B81" s="560" t="s">
        <v>67</v>
      </c>
      <c r="C81" s="342"/>
      <c r="D81" s="343"/>
      <c r="E81" s="343"/>
      <c r="F81" s="343"/>
      <c r="G81" s="343"/>
      <c r="H81" s="343"/>
      <c r="I81" s="343"/>
      <c r="J81" s="344"/>
      <c r="K81" s="345"/>
      <c r="L81" s="346"/>
      <c r="M81" s="486"/>
      <c r="N81" s="486"/>
      <c r="O81" s="308"/>
      <c r="Q81" s="486"/>
      <c r="R81" s="481"/>
      <c r="S81" s="514"/>
      <c r="T81" s="515"/>
      <c r="U81" s="482"/>
      <c r="V81" s="514"/>
      <c r="W81" s="515"/>
    </row>
    <row r="82" spans="1:26" x14ac:dyDescent="0.3">
      <c r="A82" s="416"/>
      <c r="B82" s="569"/>
      <c r="C82" s="417"/>
      <c r="D82" s="418"/>
      <c r="E82" s="418"/>
      <c r="F82" s="418"/>
      <c r="G82" s="418"/>
      <c r="H82" s="418"/>
      <c r="I82" s="418"/>
      <c r="J82" s="419"/>
      <c r="K82" s="420"/>
      <c r="L82" s="421"/>
      <c r="M82" s="496"/>
      <c r="N82" s="496"/>
      <c r="O82" s="308"/>
      <c r="Q82" s="496"/>
      <c r="R82" s="481"/>
      <c r="S82" s="514"/>
      <c r="T82" s="515"/>
      <c r="U82" s="482"/>
      <c r="V82" s="514"/>
      <c r="W82" s="515"/>
    </row>
    <row r="83" spans="1:26" s="423" customFormat="1" ht="13.8" x14ac:dyDescent="0.3">
      <c r="A83" s="398"/>
      <c r="B83" s="570" t="s">
        <v>68</v>
      </c>
      <c r="C83" s="358"/>
      <c r="D83" s="359"/>
      <c r="E83" s="359"/>
      <c r="F83" s="359"/>
      <c r="G83" s="359"/>
      <c r="H83" s="359"/>
      <c r="I83" s="361"/>
      <c r="J83" s="359"/>
      <c r="K83" s="406"/>
      <c r="L83" s="364"/>
      <c r="M83" s="489"/>
      <c r="N83" s="489"/>
      <c r="O83" s="308"/>
      <c r="P83" s="422"/>
      <c r="Q83" s="502"/>
      <c r="R83" s="481"/>
      <c r="S83" s="514"/>
      <c r="T83" s="515"/>
      <c r="U83" s="482"/>
      <c r="V83" s="514"/>
      <c r="W83" s="515"/>
      <c r="X83" s="517"/>
      <c r="Y83" s="517"/>
    </row>
    <row r="84" spans="1:26" s="423" customFormat="1" x14ac:dyDescent="0.3">
      <c r="A84" s="399"/>
      <c r="B84" s="571" t="s">
        <v>69</v>
      </c>
      <c r="C84" s="366"/>
      <c r="D84" s="367">
        <f>3+1+9.5+3+1+14.5+3+1+21.5+3+1+26.5+3+1+21+3+1+24+3+1+5+6</f>
        <v>156</v>
      </c>
      <c r="E84" s="367"/>
      <c r="F84" s="362"/>
      <c r="G84" s="362"/>
      <c r="H84" s="362">
        <f>PRODUCT(C84:G84)</f>
        <v>156</v>
      </c>
      <c r="I84" s="369" t="s">
        <v>19</v>
      </c>
      <c r="J84" s="362">
        <f t="shared" ref="J84:J89" si="68">H84</f>
        <v>156</v>
      </c>
      <c r="K84" s="363">
        <v>48.55</v>
      </c>
      <c r="L84" s="370">
        <f t="shared" ref="L84:L89" si="69">J84*K84</f>
        <v>7573.7999999999993</v>
      </c>
      <c r="M84" s="490">
        <f t="shared" ref="M84:M89" si="70">K84*(100%-16.5%)</f>
        <v>40.539249999999996</v>
      </c>
      <c r="N84" s="489">
        <f t="shared" ref="N84:N147" si="71">IF(M84&gt;0,M84*J84,"")</f>
        <v>6324.1229999999996</v>
      </c>
      <c r="O84" s="308"/>
      <c r="P84" s="422"/>
      <c r="Q84" s="497"/>
      <c r="R84" s="481">
        <f>IF(N84&gt;0,J84,"")</f>
        <v>156</v>
      </c>
      <c r="S84" s="514">
        <f>[1]LAVORO!$P$252</f>
        <v>14.68</v>
      </c>
      <c r="T84" s="515">
        <f t="shared" ref="T84" si="72">IF(S84&gt;0,S84*R84,"")</f>
        <v>2290.08</v>
      </c>
      <c r="U84" s="482">
        <f>IF(R84&gt;0,R84,"")</f>
        <v>156</v>
      </c>
      <c r="V84" s="514">
        <f>[1]LAVORO!$S$252</f>
        <v>20.29</v>
      </c>
      <c r="W84" s="515">
        <f t="shared" ref="W84" si="73">IF(V84&gt;0,V84*U84,"")</f>
        <v>3165.24</v>
      </c>
      <c r="X84" s="507">
        <f t="shared" ref="X84:X89" si="74">V84+S84</f>
        <v>34.97</v>
      </c>
      <c r="Y84" s="520">
        <f t="shared" ref="Y84:Y89" si="75">M84-X84</f>
        <v>5.5692499999999967</v>
      </c>
      <c r="Z84" s="521">
        <f t="shared" ref="Z84:Z89" si="76">Y84/M84</f>
        <v>0.13737920657140912</v>
      </c>
    </row>
    <row r="85" spans="1:26" s="423" customFormat="1" x14ac:dyDescent="0.3">
      <c r="A85" s="399"/>
      <c r="B85" s="571" t="s">
        <v>70</v>
      </c>
      <c r="C85" s="366">
        <v>8</v>
      </c>
      <c r="D85" s="367"/>
      <c r="E85" s="367"/>
      <c r="F85" s="362"/>
      <c r="G85" s="362"/>
      <c r="H85" s="362">
        <f t="shared" ref="H85:H88" si="77">PRODUCT(C85:G85)</f>
        <v>8</v>
      </c>
      <c r="I85" s="369" t="s">
        <v>18</v>
      </c>
      <c r="J85" s="362">
        <f t="shared" si="68"/>
        <v>8</v>
      </c>
      <c r="K85" s="363">
        <v>399.3</v>
      </c>
      <c r="L85" s="370">
        <f t="shared" si="69"/>
        <v>3194.4</v>
      </c>
      <c r="M85" s="490">
        <f t="shared" si="70"/>
        <v>333.41550000000001</v>
      </c>
      <c r="N85" s="489">
        <f t="shared" si="71"/>
        <v>2667.3240000000001</v>
      </c>
      <c r="O85" s="308"/>
      <c r="P85" s="422"/>
      <c r="Q85" s="497"/>
      <c r="R85" s="481">
        <f t="shared" ref="R85:R148" si="78">IF(N85&gt;0,J85,"")</f>
        <v>8</v>
      </c>
      <c r="S85" s="514">
        <f>[1]LAVORO!$P$279</f>
        <v>101.96</v>
      </c>
      <c r="T85" s="515">
        <f t="shared" ref="T85:T148" si="79">IF(S85&gt;0,S85*R85,"")</f>
        <v>815.68</v>
      </c>
      <c r="U85" s="482">
        <f t="shared" ref="U85:U148" si="80">IF(R85&gt;0,R85,"")</f>
        <v>8</v>
      </c>
      <c r="V85" s="514">
        <f>[1]LAVORO!$S$279</f>
        <v>177.08</v>
      </c>
      <c r="W85" s="515">
        <f t="shared" ref="W85:W147" si="81">IF(V85&gt;0,V85*U85,"")</f>
        <v>1416.64</v>
      </c>
      <c r="X85" s="507">
        <f t="shared" si="74"/>
        <v>279.04000000000002</v>
      </c>
      <c r="Y85" s="520">
        <f t="shared" si="75"/>
        <v>54.375499999999988</v>
      </c>
      <c r="Z85" s="521">
        <f t="shared" si="76"/>
        <v>0.16308629922724044</v>
      </c>
    </row>
    <row r="86" spans="1:26" s="423" customFormat="1" x14ac:dyDescent="0.3">
      <c r="A86" s="399"/>
      <c r="B86" s="571" t="s">
        <v>71</v>
      </c>
      <c r="C86" s="366">
        <v>7</v>
      </c>
      <c r="D86" s="367"/>
      <c r="E86" s="367"/>
      <c r="F86" s="362"/>
      <c r="G86" s="362"/>
      <c r="H86" s="362">
        <f t="shared" si="77"/>
        <v>7</v>
      </c>
      <c r="I86" s="369" t="s">
        <v>18</v>
      </c>
      <c r="J86" s="362">
        <f t="shared" si="68"/>
        <v>7</v>
      </c>
      <c r="K86" s="363">
        <v>650</v>
      </c>
      <c r="L86" s="370">
        <f t="shared" si="69"/>
        <v>4550</v>
      </c>
      <c r="M86" s="490">
        <f t="shared" si="70"/>
        <v>542.75</v>
      </c>
      <c r="N86" s="489">
        <f t="shared" si="71"/>
        <v>3799.25</v>
      </c>
      <c r="O86" s="308"/>
      <c r="P86" s="422"/>
      <c r="Q86" s="497"/>
      <c r="R86" s="481">
        <f t="shared" si="78"/>
        <v>7</v>
      </c>
      <c r="S86" s="514">
        <f>[1]LAVORO!$P$324</f>
        <v>137.44</v>
      </c>
      <c r="T86" s="515">
        <f t="shared" si="79"/>
        <v>962.07999999999993</v>
      </c>
      <c r="U86" s="482">
        <f t="shared" si="80"/>
        <v>7</v>
      </c>
      <c r="V86" s="514">
        <f>[1]LAVORO!$S$324</f>
        <v>274.37</v>
      </c>
      <c r="W86" s="515">
        <f t="shared" si="81"/>
        <v>1920.5900000000001</v>
      </c>
      <c r="X86" s="507">
        <f t="shared" si="74"/>
        <v>411.81</v>
      </c>
      <c r="Y86" s="520">
        <f t="shared" si="75"/>
        <v>130.94</v>
      </c>
      <c r="Z86" s="521">
        <f t="shared" si="76"/>
        <v>0.24125287885766927</v>
      </c>
    </row>
    <row r="87" spans="1:26" s="423" customFormat="1" x14ac:dyDescent="0.3">
      <c r="A87" s="399"/>
      <c r="B87" s="571" t="s">
        <v>72</v>
      </c>
      <c r="C87" s="366">
        <v>1</v>
      </c>
      <c r="D87" s="367"/>
      <c r="E87" s="367"/>
      <c r="F87" s="362"/>
      <c r="G87" s="362"/>
      <c r="H87" s="362">
        <f t="shared" si="77"/>
        <v>1</v>
      </c>
      <c r="I87" s="369" t="s">
        <v>18</v>
      </c>
      <c r="J87" s="362">
        <f t="shared" si="68"/>
        <v>1</v>
      </c>
      <c r="K87" s="363">
        <v>691.9</v>
      </c>
      <c r="L87" s="370">
        <f t="shared" si="69"/>
        <v>691.9</v>
      </c>
      <c r="M87" s="490">
        <f t="shared" si="70"/>
        <v>577.73649999999998</v>
      </c>
      <c r="N87" s="489">
        <f t="shared" si="71"/>
        <v>577.73649999999998</v>
      </c>
      <c r="O87" s="308"/>
      <c r="P87" s="422"/>
      <c r="Q87" s="497"/>
      <c r="R87" s="481">
        <f t="shared" si="78"/>
        <v>1</v>
      </c>
      <c r="S87" s="514">
        <f>S85</f>
        <v>101.96</v>
      </c>
      <c r="T87" s="515">
        <f>T85</f>
        <v>815.68</v>
      </c>
      <c r="U87" s="482">
        <f t="shared" si="80"/>
        <v>1</v>
      </c>
      <c r="V87" s="514">
        <f>V85</f>
        <v>177.08</v>
      </c>
      <c r="W87" s="515">
        <f t="shared" si="81"/>
        <v>177.08</v>
      </c>
      <c r="X87" s="507">
        <f t="shared" si="74"/>
        <v>279.04000000000002</v>
      </c>
      <c r="Y87" s="520">
        <f t="shared" si="75"/>
        <v>298.69649999999996</v>
      </c>
      <c r="Z87" s="521">
        <f t="shared" si="76"/>
        <v>0.51701164804370148</v>
      </c>
    </row>
    <row r="88" spans="1:26" s="423" customFormat="1" x14ac:dyDescent="0.3">
      <c r="A88" s="399"/>
      <c r="B88" s="571" t="s">
        <v>191</v>
      </c>
      <c r="C88" s="366">
        <v>7</v>
      </c>
      <c r="D88" s="367"/>
      <c r="E88" s="367"/>
      <c r="F88" s="362"/>
      <c r="G88" s="362"/>
      <c r="H88" s="362">
        <f t="shared" si="77"/>
        <v>7</v>
      </c>
      <c r="I88" s="369" t="s">
        <v>18</v>
      </c>
      <c r="J88" s="362">
        <f t="shared" si="68"/>
        <v>7</v>
      </c>
      <c r="K88" s="363">
        <v>3680</v>
      </c>
      <c r="L88" s="370">
        <f t="shared" si="69"/>
        <v>25760</v>
      </c>
      <c r="M88" s="490">
        <f t="shared" si="70"/>
        <v>3072.7999999999997</v>
      </c>
      <c r="N88" s="489">
        <f t="shared" si="71"/>
        <v>21509.599999999999</v>
      </c>
      <c r="O88" s="308"/>
      <c r="P88" s="422"/>
      <c r="Q88" s="497" t="s">
        <v>234</v>
      </c>
      <c r="R88" s="481">
        <f t="shared" si="78"/>
        <v>7</v>
      </c>
      <c r="S88" s="514">
        <f>[2]CM!$M$400</f>
        <v>500</v>
      </c>
      <c r="T88" s="515">
        <f t="shared" si="79"/>
        <v>3500</v>
      </c>
      <c r="U88" s="482">
        <f t="shared" si="80"/>
        <v>7</v>
      </c>
      <c r="V88" s="514">
        <f>[2]CM!$P$400</f>
        <v>1018.4</v>
      </c>
      <c r="W88" s="515">
        <f t="shared" si="81"/>
        <v>7128.8</v>
      </c>
      <c r="X88" s="507">
        <f t="shared" si="74"/>
        <v>1518.4</v>
      </c>
      <c r="Y88" s="520">
        <f t="shared" si="75"/>
        <v>1554.3999999999996</v>
      </c>
      <c r="Z88" s="521">
        <f t="shared" si="76"/>
        <v>0.50585784951835455</v>
      </c>
    </row>
    <row r="89" spans="1:26" s="423" customFormat="1" ht="28.8" x14ac:dyDescent="0.3">
      <c r="A89" s="399"/>
      <c r="B89" s="571" t="s">
        <v>189</v>
      </c>
      <c r="C89" s="366">
        <v>1</v>
      </c>
      <c r="D89" s="367"/>
      <c r="E89" s="367"/>
      <c r="F89" s="362"/>
      <c r="G89" s="362"/>
      <c r="H89" s="362">
        <f>PRODUCT(C89:G89)</f>
        <v>1</v>
      </c>
      <c r="I89" s="369" t="s">
        <v>18</v>
      </c>
      <c r="J89" s="362">
        <f t="shared" si="68"/>
        <v>1</v>
      </c>
      <c r="K89" s="363">
        <v>1500</v>
      </c>
      <c r="L89" s="370">
        <f t="shared" si="69"/>
        <v>1500</v>
      </c>
      <c r="M89" s="490">
        <f t="shared" si="70"/>
        <v>1252.5</v>
      </c>
      <c r="N89" s="489">
        <f t="shared" si="71"/>
        <v>1252.5</v>
      </c>
      <c r="O89" s="308"/>
      <c r="P89" s="422"/>
      <c r="Q89" s="497"/>
      <c r="R89" s="481">
        <f t="shared" si="78"/>
        <v>1</v>
      </c>
      <c r="S89" s="514">
        <v>600</v>
      </c>
      <c r="T89" s="515">
        <f t="shared" si="79"/>
        <v>600</v>
      </c>
      <c r="U89" s="482">
        <f t="shared" si="80"/>
        <v>1</v>
      </c>
      <c r="V89" s="514">
        <v>400</v>
      </c>
      <c r="W89" s="515">
        <f t="shared" si="81"/>
        <v>400</v>
      </c>
      <c r="X89" s="507">
        <f t="shared" si="74"/>
        <v>1000</v>
      </c>
      <c r="Y89" s="520">
        <f t="shared" si="75"/>
        <v>252.5</v>
      </c>
      <c r="Z89" s="521">
        <f t="shared" si="76"/>
        <v>0.20159680638722555</v>
      </c>
    </row>
    <row r="90" spans="1:26" s="423" customFormat="1" ht="13.8" x14ac:dyDescent="0.3">
      <c r="A90" s="399"/>
      <c r="B90" s="572" t="s">
        <v>73</v>
      </c>
      <c r="C90" s="366"/>
      <c r="D90" s="367"/>
      <c r="E90" s="367"/>
      <c r="F90" s="362"/>
      <c r="G90" s="362"/>
      <c r="H90" s="362"/>
      <c r="I90" s="369"/>
      <c r="J90" s="362"/>
      <c r="K90" s="363"/>
      <c r="L90" s="424"/>
      <c r="M90" s="497"/>
      <c r="N90" s="489" t="str">
        <f t="shared" si="71"/>
        <v/>
      </c>
      <c r="O90" s="308"/>
      <c r="P90" s="422"/>
      <c r="Q90" s="497"/>
      <c r="R90" s="481"/>
      <c r="S90" s="514"/>
      <c r="T90" s="515" t="str">
        <f t="shared" si="79"/>
        <v/>
      </c>
      <c r="U90" s="482" t="str">
        <f t="shared" si="80"/>
        <v/>
      </c>
      <c r="V90" s="514"/>
      <c r="W90" s="515" t="str">
        <f t="shared" si="81"/>
        <v/>
      </c>
      <c r="X90" s="517"/>
      <c r="Y90" s="517"/>
    </row>
    <row r="91" spans="1:26" s="423" customFormat="1" x14ac:dyDescent="0.3">
      <c r="A91" s="399"/>
      <c r="B91" s="571"/>
      <c r="C91" s="366"/>
      <c r="D91" s="367"/>
      <c r="E91" s="367"/>
      <c r="F91" s="362"/>
      <c r="G91" s="362"/>
      <c r="H91" s="362"/>
      <c r="I91" s="369"/>
      <c r="J91" s="362"/>
      <c r="K91" s="363"/>
      <c r="L91" s="370"/>
      <c r="M91" s="490"/>
      <c r="N91" s="489" t="str">
        <f t="shared" si="71"/>
        <v/>
      </c>
      <c r="O91" s="308"/>
      <c r="P91" s="422"/>
      <c r="Q91" s="497"/>
      <c r="R91" s="481"/>
      <c r="S91" s="514"/>
      <c r="T91" s="515" t="str">
        <f t="shared" si="79"/>
        <v/>
      </c>
      <c r="U91" s="482" t="str">
        <f t="shared" si="80"/>
        <v/>
      </c>
      <c r="V91" s="514"/>
      <c r="W91" s="515" t="str">
        <f t="shared" si="81"/>
        <v/>
      </c>
      <c r="X91" s="517"/>
      <c r="Y91" s="517"/>
    </row>
    <row r="92" spans="1:26" s="423" customFormat="1" ht="27.6" x14ac:dyDescent="0.3">
      <c r="A92" s="399"/>
      <c r="B92" s="562" t="s">
        <v>74</v>
      </c>
      <c r="C92" s="366"/>
      <c r="D92" s="367"/>
      <c r="E92" s="367"/>
      <c r="F92" s="367"/>
      <c r="G92" s="367"/>
      <c r="H92" s="367"/>
      <c r="I92" s="369"/>
      <c r="J92" s="367"/>
      <c r="K92" s="363"/>
      <c r="L92" s="370"/>
      <c r="M92" s="490"/>
      <c r="N92" s="489" t="str">
        <f t="shared" si="71"/>
        <v/>
      </c>
      <c r="O92" s="308"/>
      <c r="P92" s="422"/>
      <c r="Q92" s="497"/>
      <c r="R92" s="481"/>
      <c r="S92" s="514"/>
      <c r="T92" s="515" t="str">
        <f t="shared" si="79"/>
        <v/>
      </c>
      <c r="U92" s="482" t="str">
        <f t="shared" si="80"/>
        <v/>
      </c>
      <c r="V92" s="514"/>
      <c r="W92" s="515" t="str">
        <f t="shared" si="81"/>
        <v/>
      </c>
      <c r="X92" s="517"/>
      <c r="Y92" s="517"/>
    </row>
    <row r="93" spans="1:26" s="423" customFormat="1" x14ac:dyDescent="0.3">
      <c r="A93" s="399"/>
      <c r="B93" s="571" t="s">
        <v>75</v>
      </c>
      <c r="C93" s="366"/>
      <c r="D93" s="367">
        <f>19+3+32+9+8+8+10</f>
        <v>89</v>
      </c>
      <c r="E93" s="367"/>
      <c r="F93" s="362"/>
      <c r="G93" s="362"/>
      <c r="H93" s="362">
        <f t="shared" ref="H93:H96" si="82">PRODUCT(C93:G93)</f>
        <v>89</v>
      </c>
      <c r="I93" s="369" t="s">
        <v>19</v>
      </c>
      <c r="J93" s="362">
        <f>H93</f>
        <v>89</v>
      </c>
      <c r="K93" s="363">
        <v>141.1</v>
      </c>
      <c r="L93" s="370">
        <f t="shared" ref="L93:L96" si="83">J93*K93</f>
        <v>12557.9</v>
      </c>
      <c r="M93" s="490">
        <f t="shared" ref="M93:M96" si="84">K93*(100%-16.5%)</f>
        <v>117.81849999999999</v>
      </c>
      <c r="N93" s="489">
        <f t="shared" si="71"/>
        <v>10485.8465</v>
      </c>
      <c r="O93" s="308"/>
      <c r="P93" s="422"/>
      <c r="Q93" s="497"/>
      <c r="R93" s="481">
        <f t="shared" si="78"/>
        <v>89</v>
      </c>
      <c r="S93" s="514">
        <f>[1]LAVORO!$P$255</f>
        <v>22.41</v>
      </c>
      <c r="T93" s="515">
        <f t="shared" si="79"/>
        <v>1994.49</v>
      </c>
      <c r="U93" s="482">
        <f t="shared" si="80"/>
        <v>89</v>
      </c>
      <c r="V93" s="514">
        <f>[1]LAVORO!$S$255</f>
        <v>63.75</v>
      </c>
      <c r="W93" s="515">
        <f t="shared" si="81"/>
        <v>5673.75</v>
      </c>
      <c r="X93" s="507">
        <f t="shared" ref="X93" si="85">V93+S93</f>
        <v>86.16</v>
      </c>
      <c r="Y93" s="520">
        <f t="shared" ref="Y93" si="86">M93-X93</f>
        <v>31.658499999999989</v>
      </c>
      <c r="Z93" s="521">
        <f t="shared" ref="Z93" si="87">Y93/M93</f>
        <v>0.26870567864978756</v>
      </c>
    </row>
    <row r="94" spans="1:26" s="423" customFormat="1" x14ac:dyDescent="0.3">
      <c r="A94" s="399"/>
      <c r="B94" s="571" t="s">
        <v>190</v>
      </c>
      <c r="C94" s="366">
        <v>5</v>
      </c>
      <c r="D94" s="367"/>
      <c r="E94" s="367"/>
      <c r="F94" s="362"/>
      <c r="G94" s="362"/>
      <c r="H94" s="362">
        <f t="shared" si="82"/>
        <v>5</v>
      </c>
      <c r="I94" s="369" t="s">
        <v>18</v>
      </c>
      <c r="J94" s="362">
        <f>H94</f>
        <v>5</v>
      </c>
      <c r="K94" s="363">
        <f>629.5*1.2</f>
        <v>755.4</v>
      </c>
      <c r="L94" s="370">
        <f t="shared" si="83"/>
        <v>3777</v>
      </c>
      <c r="M94" s="490">
        <f t="shared" si="84"/>
        <v>630.7589999999999</v>
      </c>
      <c r="N94" s="489">
        <f t="shared" si="71"/>
        <v>3153.7949999999996</v>
      </c>
      <c r="O94" s="308"/>
      <c r="P94" s="422"/>
      <c r="Q94" s="497" t="s">
        <v>235</v>
      </c>
      <c r="R94" s="481">
        <f t="shared" si="78"/>
        <v>5</v>
      </c>
      <c r="S94" s="514">
        <f>[2]CM!$M$352</f>
        <v>137.44</v>
      </c>
      <c r="T94" s="515">
        <f t="shared" si="79"/>
        <v>687.2</v>
      </c>
      <c r="U94" s="482">
        <f t="shared" si="80"/>
        <v>5</v>
      </c>
      <c r="V94" s="514">
        <f>[2]CM!$P$352</f>
        <v>274.37</v>
      </c>
      <c r="W94" s="515">
        <f t="shared" ref="W94:W96" si="88">IF(V94&gt;0,V94*U94,"")</f>
        <v>1371.85</v>
      </c>
      <c r="X94" s="507">
        <f t="shared" ref="X94:X96" si="89">V94+S94</f>
        <v>411.81</v>
      </c>
      <c r="Y94" s="520">
        <f t="shared" ref="Y94:Y96" si="90">M94-X94</f>
        <v>218.9489999999999</v>
      </c>
      <c r="Z94" s="521">
        <f t="shared" ref="Z94:Z96" si="91">Y94/M94</f>
        <v>0.3471198984081082</v>
      </c>
    </row>
    <row r="95" spans="1:26" s="423" customFormat="1" x14ac:dyDescent="0.3">
      <c r="A95" s="399"/>
      <c r="B95" s="571" t="s">
        <v>158</v>
      </c>
      <c r="C95" s="366">
        <v>1</v>
      </c>
      <c r="D95" s="367"/>
      <c r="E95" s="367"/>
      <c r="F95" s="362"/>
      <c r="G95" s="362"/>
      <c r="H95" s="362">
        <f t="shared" si="82"/>
        <v>1</v>
      </c>
      <c r="I95" s="369" t="s">
        <v>18</v>
      </c>
      <c r="J95" s="362">
        <f>H95</f>
        <v>1</v>
      </c>
      <c r="K95" s="363">
        <v>692.45</v>
      </c>
      <c r="L95" s="370">
        <f t="shared" si="83"/>
        <v>692.45</v>
      </c>
      <c r="M95" s="490">
        <f t="shared" si="84"/>
        <v>578.19574999999998</v>
      </c>
      <c r="N95" s="489">
        <f t="shared" si="71"/>
        <v>578.19574999999998</v>
      </c>
      <c r="O95" s="308"/>
      <c r="P95" s="422"/>
      <c r="Q95" s="497" t="s">
        <v>235</v>
      </c>
      <c r="R95" s="481">
        <f t="shared" si="78"/>
        <v>1</v>
      </c>
      <c r="S95" s="514">
        <f>S94</f>
        <v>137.44</v>
      </c>
      <c r="T95" s="515">
        <f t="shared" si="79"/>
        <v>137.44</v>
      </c>
      <c r="U95" s="482">
        <f t="shared" si="80"/>
        <v>1</v>
      </c>
      <c r="V95" s="514">
        <f>V94</f>
        <v>274.37</v>
      </c>
      <c r="W95" s="515">
        <f t="shared" si="88"/>
        <v>274.37</v>
      </c>
      <c r="X95" s="507">
        <f t="shared" si="89"/>
        <v>411.81</v>
      </c>
      <c r="Y95" s="520">
        <f t="shared" si="90"/>
        <v>166.38574999999997</v>
      </c>
      <c r="Z95" s="521">
        <f t="shared" si="91"/>
        <v>0.28776716189975449</v>
      </c>
    </row>
    <row r="96" spans="1:26" s="423" customFormat="1" x14ac:dyDescent="0.3">
      <c r="A96" s="399"/>
      <c r="B96" s="571" t="s">
        <v>76</v>
      </c>
      <c r="C96" s="366">
        <v>1</v>
      </c>
      <c r="D96" s="367"/>
      <c r="E96" s="367"/>
      <c r="F96" s="362"/>
      <c r="G96" s="362"/>
      <c r="H96" s="362">
        <f t="shared" si="82"/>
        <v>1</v>
      </c>
      <c r="I96" s="369" t="s">
        <v>18</v>
      </c>
      <c r="J96" s="362">
        <f>H96</f>
        <v>1</v>
      </c>
      <c r="K96" s="363">
        <v>1500</v>
      </c>
      <c r="L96" s="370">
        <f t="shared" si="83"/>
        <v>1500</v>
      </c>
      <c r="M96" s="490">
        <f t="shared" si="84"/>
        <v>1252.5</v>
      </c>
      <c r="N96" s="489">
        <f t="shared" si="71"/>
        <v>1252.5</v>
      </c>
      <c r="O96" s="308"/>
      <c r="P96" s="422"/>
      <c r="Q96" s="497"/>
      <c r="R96" s="481">
        <f t="shared" si="78"/>
        <v>1</v>
      </c>
      <c r="S96" s="514">
        <v>600</v>
      </c>
      <c r="T96" s="515">
        <f t="shared" si="79"/>
        <v>600</v>
      </c>
      <c r="U96" s="482">
        <f t="shared" si="80"/>
        <v>1</v>
      </c>
      <c r="V96" s="514">
        <v>400</v>
      </c>
      <c r="W96" s="515">
        <f t="shared" si="88"/>
        <v>400</v>
      </c>
      <c r="X96" s="507">
        <f t="shared" si="89"/>
        <v>1000</v>
      </c>
      <c r="Y96" s="520">
        <f t="shared" si="90"/>
        <v>252.5</v>
      </c>
      <c r="Z96" s="521">
        <f t="shared" si="91"/>
        <v>0.20159680638722555</v>
      </c>
    </row>
    <row r="97" spans="1:26" s="423" customFormat="1" ht="13.8" x14ac:dyDescent="0.3">
      <c r="A97" s="399"/>
      <c r="B97" s="572" t="s">
        <v>77</v>
      </c>
      <c r="C97" s="366"/>
      <c r="D97" s="367"/>
      <c r="E97" s="367"/>
      <c r="F97" s="362"/>
      <c r="G97" s="362"/>
      <c r="H97" s="362"/>
      <c r="I97" s="369"/>
      <c r="J97" s="362"/>
      <c r="K97" s="363"/>
      <c r="L97" s="424"/>
      <c r="M97" s="497"/>
      <c r="N97" s="489" t="str">
        <f t="shared" si="71"/>
        <v/>
      </c>
      <c r="O97" s="308"/>
      <c r="P97" s="422"/>
      <c r="Q97" s="497"/>
      <c r="R97" s="481"/>
      <c r="S97" s="514"/>
      <c r="T97" s="515" t="str">
        <f t="shared" si="79"/>
        <v/>
      </c>
      <c r="U97" s="482" t="str">
        <f t="shared" si="80"/>
        <v/>
      </c>
      <c r="V97" s="514"/>
      <c r="W97" s="515" t="str">
        <f t="shared" si="81"/>
        <v/>
      </c>
      <c r="X97" s="517"/>
      <c r="Y97" s="517"/>
    </row>
    <row r="98" spans="1:26" s="423" customFormat="1" x14ac:dyDescent="0.3">
      <c r="A98" s="399"/>
      <c r="B98" s="571"/>
      <c r="C98" s="366"/>
      <c r="D98" s="367"/>
      <c r="E98" s="367"/>
      <c r="F98" s="362"/>
      <c r="G98" s="362"/>
      <c r="H98" s="362"/>
      <c r="I98" s="369"/>
      <c r="J98" s="362"/>
      <c r="K98" s="363"/>
      <c r="L98" s="370"/>
      <c r="M98" s="490"/>
      <c r="N98" s="489" t="str">
        <f t="shared" si="71"/>
        <v/>
      </c>
      <c r="O98" s="308"/>
      <c r="P98" s="422"/>
      <c r="Q98" s="497"/>
      <c r="R98" s="481"/>
      <c r="S98" s="514"/>
      <c r="T98" s="515" t="str">
        <f t="shared" si="79"/>
        <v/>
      </c>
      <c r="U98" s="482" t="str">
        <f t="shared" si="80"/>
        <v/>
      </c>
      <c r="V98" s="514"/>
      <c r="W98" s="515" t="str">
        <f t="shared" si="81"/>
        <v/>
      </c>
      <c r="X98" s="517"/>
      <c r="Y98" s="517"/>
    </row>
    <row r="99" spans="1:26" s="423" customFormat="1" ht="13.8" x14ac:dyDescent="0.3">
      <c r="A99" s="399"/>
      <c r="B99" s="562" t="s">
        <v>78</v>
      </c>
      <c r="C99" s="366"/>
      <c r="D99" s="367"/>
      <c r="E99" s="367"/>
      <c r="F99" s="367"/>
      <c r="G99" s="367"/>
      <c r="H99" s="367"/>
      <c r="I99" s="369"/>
      <c r="J99" s="367"/>
      <c r="K99" s="363"/>
      <c r="L99" s="370"/>
      <c r="M99" s="490"/>
      <c r="N99" s="489" t="str">
        <f t="shared" si="71"/>
        <v/>
      </c>
      <c r="O99" s="308"/>
      <c r="P99" s="422"/>
      <c r="Q99" s="497"/>
      <c r="R99" s="481"/>
      <c r="S99" s="514"/>
      <c r="T99" s="515" t="str">
        <f t="shared" si="79"/>
        <v/>
      </c>
      <c r="U99" s="482" t="str">
        <f t="shared" si="80"/>
        <v/>
      </c>
      <c r="V99" s="514"/>
      <c r="W99" s="515" t="str">
        <f t="shared" si="81"/>
        <v/>
      </c>
      <c r="X99" s="517"/>
      <c r="Y99" s="517"/>
    </row>
    <row r="100" spans="1:26" s="423" customFormat="1" x14ac:dyDescent="0.3">
      <c r="A100" s="399"/>
      <c r="B100" s="571" t="s">
        <v>79</v>
      </c>
      <c r="C100" s="366"/>
      <c r="D100" s="366">
        <v>14</v>
      </c>
      <c r="E100" s="367"/>
      <c r="F100" s="362"/>
      <c r="G100" s="362"/>
      <c r="H100" s="362">
        <f>PRODUCT(C100:G100)</f>
        <v>14</v>
      </c>
      <c r="I100" s="369" t="s">
        <v>19</v>
      </c>
      <c r="J100" s="362">
        <f t="shared" ref="J100:J107" si="92">H100</f>
        <v>14</v>
      </c>
      <c r="K100" s="363">
        <f>61.8*1.1</f>
        <v>67.98</v>
      </c>
      <c r="L100" s="370">
        <f t="shared" ref="L100:L107" si="93">J100*K100</f>
        <v>951.72</v>
      </c>
      <c r="M100" s="490">
        <f t="shared" ref="M100:M107" si="94">K100*(100%-16.5%)</f>
        <v>56.763300000000001</v>
      </c>
      <c r="N100" s="489">
        <f t="shared" si="71"/>
        <v>794.68619999999999</v>
      </c>
      <c r="O100" s="308"/>
      <c r="P100" s="422"/>
      <c r="Q100" s="497"/>
      <c r="R100" s="481">
        <f t="shared" si="78"/>
        <v>14</v>
      </c>
      <c r="S100" s="514">
        <f>[2]CM!$M$324</f>
        <v>15.81</v>
      </c>
      <c r="T100" s="515">
        <f t="shared" si="79"/>
        <v>221.34</v>
      </c>
      <c r="U100" s="482">
        <f t="shared" si="80"/>
        <v>14</v>
      </c>
      <c r="V100" s="514">
        <f>[2]CM!$P$324</f>
        <v>28.82</v>
      </c>
      <c r="W100" s="515">
        <f t="shared" ref="W100:W107" si="95">IF(V100&gt;0,V100*U100,"")</f>
        <v>403.48</v>
      </c>
      <c r="X100" s="507">
        <f t="shared" ref="X100:X107" si="96">V100+S100</f>
        <v>44.63</v>
      </c>
      <c r="Y100" s="520">
        <f t="shared" ref="Y100:Y107" si="97">M100-X100</f>
        <v>12.133299999999998</v>
      </c>
      <c r="Z100" s="521">
        <f t="shared" ref="Z100:Z107" si="98">Y100/M100</f>
        <v>0.2137525478610299</v>
      </c>
    </row>
    <row r="101" spans="1:26" s="423" customFormat="1" x14ac:dyDescent="0.3">
      <c r="A101" s="399"/>
      <c r="B101" s="571" t="s">
        <v>80</v>
      </c>
      <c r="C101" s="366"/>
      <c r="D101" s="366">
        <f>13.5+16.5+16+11.5</f>
        <v>57.5</v>
      </c>
      <c r="E101" s="367"/>
      <c r="F101" s="362"/>
      <c r="G101" s="362"/>
      <c r="H101" s="362">
        <f t="shared" ref="H101" si="99">PRODUCT(C101:G101)</f>
        <v>57.5</v>
      </c>
      <c r="I101" s="369" t="s">
        <v>19</v>
      </c>
      <c r="J101" s="362">
        <f t="shared" si="92"/>
        <v>57.5</v>
      </c>
      <c r="K101" s="363">
        <f>85.27*1.1</f>
        <v>93.796999999999997</v>
      </c>
      <c r="L101" s="370">
        <f t="shared" si="93"/>
        <v>5393.3274999999994</v>
      </c>
      <c r="M101" s="490">
        <f t="shared" si="94"/>
        <v>78.320494999999994</v>
      </c>
      <c r="N101" s="489">
        <f t="shared" si="71"/>
        <v>4503.4284625</v>
      </c>
      <c r="O101" s="308"/>
      <c r="P101" s="422"/>
      <c r="Q101" s="497"/>
      <c r="R101" s="481">
        <f t="shared" si="78"/>
        <v>57.5</v>
      </c>
      <c r="S101" s="514">
        <f>[2]CM!$M$325</f>
        <v>18.670000000000002</v>
      </c>
      <c r="T101" s="515">
        <f t="shared" si="79"/>
        <v>1073.5250000000001</v>
      </c>
      <c r="U101" s="482">
        <f t="shared" si="80"/>
        <v>57.5</v>
      </c>
      <c r="V101" s="514">
        <f>[2]CM!$P$325</f>
        <v>41.47</v>
      </c>
      <c r="W101" s="515">
        <f t="shared" si="95"/>
        <v>2384.5250000000001</v>
      </c>
      <c r="X101" s="507">
        <f t="shared" si="96"/>
        <v>60.14</v>
      </c>
      <c r="Y101" s="520">
        <f t="shared" si="97"/>
        <v>18.180494999999993</v>
      </c>
      <c r="Z101" s="521">
        <f t="shared" si="98"/>
        <v>0.2321294700703819</v>
      </c>
    </row>
    <row r="102" spans="1:26" s="423" customFormat="1" x14ac:dyDescent="0.3">
      <c r="A102" s="399"/>
      <c r="B102" s="571" t="s">
        <v>81</v>
      </c>
      <c r="C102" s="366"/>
      <c r="D102" s="366">
        <f>12.5+11+25+25+25+22.5+25+21+13.5+16.5</f>
        <v>197</v>
      </c>
      <c r="E102" s="367"/>
      <c r="F102" s="362"/>
      <c r="G102" s="362"/>
      <c r="H102" s="362">
        <f>PRODUCT(C102:G102)</f>
        <v>197</v>
      </c>
      <c r="I102" s="369" t="s">
        <v>19</v>
      </c>
      <c r="J102" s="362">
        <f t="shared" si="92"/>
        <v>197</v>
      </c>
      <c r="K102" s="363">
        <f>128.27*1.1</f>
        <v>141.09700000000004</v>
      </c>
      <c r="L102" s="370">
        <f t="shared" si="93"/>
        <v>27796.109000000008</v>
      </c>
      <c r="M102" s="490">
        <f t="shared" si="94"/>
        <v>117.81599500000003</v>
      </c>
      <c r="N102" s="489">
        <f t="shared" si="71"/>
        <v>23209.751015000005</v>
      </c>
      <c r="O102" s="308"/>
      <c r="P102" s="422"/>
      <c r="Q102" s="497"/>
      <c r="R102" s="481">
        <f t="shared" si="78"/>
        <v>197</v>
      </c>
      <c r="S102" s="514">
        <f>[2]CM!$M$326</f>
        <v>22.41</v>
      </c>
      <c r="T102" s="515">
        <f t="shared" si="79"/>
        <v>4414.7700000000004</v>
      </c>
      <c r="U102" s="482">
        <f t="shared" si="80"/>
        <v>197</v>
      </c>
      <c r="V102" s="514">
        <f>[2]CM!$P$326</f>
        <v>63.75</v>
      </c>
      <c r="W102" s="515">
        <f t="shared" si="95"/>
        <v>12558.75</v>
      </c>
      <c r="X102" s="507">
        <f t="shared" si="96"/>
        <v>86.16</v>
      </c>
      <c r="Y102" s="520">
        <f t="shared" si="97"/>
        <v>31.655995000000033</v>
      </c>
      <c r="Z102" s="521">
        <f t="shared" si="98"/>
        <v>0.26869012989280466</v>
      </c>
    </row>
    <row r="103" spans="1:26" s="423" customFormat="1" x14ac:dyDescent="0.3">
      <c r="A103" s="399"/>
      <c r="B103" s="571" t="s">
        <v>155</v>
      </c>
      <c r="C103" s="366"/>
      <c r="D103" s="366">
        <f>25+8</f>
        <v>33</v>
      </c>
      <c r="E103" s="367"/>
      <c r="F103" s="362"/>
      <c r="G103" s="362"/>
      <c r="H103" s="362">
        <f t="shared" ref="H103:H107" si="100">PRODUCT(C103:G103)</f>
        <v>33</v>
      </c>
      <c r="I103" s="369" t="s">
        <v>19</v>
      </c>
      <c r="J103" s="362">
        <f t="shared" si="92"/>
        <v>33</v>
      </c>
      <c r="K103" s="363">
        <f>164.61*1.1</f>
        <v>181.07100000000003</v>
      </c>
      <c r="L103" s="370">
        <f t="shared" si="93"/>
        <v>5975.3430000000008</v>
      </c>
      <c r="M103" s="490">
        <f t="shared" si="94"/>
        <v>151.19428500000001</v>
      </c>
      <c r="N103" s="489">
        <f t="shared" si="71"/>
        <v>4989.4114049999998</v>
      </c>
      <c r="O103" s="308"/>
      <c r="P103" s="422"/>
      <c r="Q103" s="497" t="s">
        <v>236</v>
      </c>
      <c r="R103" s="481">
        <f t="shared" si="78"/>
        <v>33</v>
      </c>
      <c r="S103" s="514">
        <f>[2]CM!$M$331</f>
        <v>28.96</v>
      </c>
      <c r="T103" s="515">
        <f t="shared" si="79"/>
        <v>955.68000000000006</v>
      </c>
      <c r="U103" s="482">
        <f t="shared" si="80"/>
        <v>33</v>
      </c>
      <c r="V103" s="514">
        <f>[2]CM!$P$331</f>
        <v>43.14</v>
      </c>
      <c r="W103" s="515">
        <f t="shared" si="95"/>
        <v>1423.6200000000001</v>
      </c>
      <c r="X103" s="507">
        <f t="shared" si="96"/>
        <v>72.099999999999994</v>
      </c>
      <c r="Y103" s="520">
        <f t="shared" si="97"/>
        <v>79.094285000000013</v>
      </c>
      <c r="Z103" s="521">
        <f t="shared" si="98"/>
        <v>0.52313012360222488</v>
      </c>
    </row>
    <row r="104" spans="1:26" s="423" customFormat="1" x14ac:dyDescent="0.3">
      <c r="A104" s="399"/>
      <c r="B104" s="571" t="s">
        <v>156</v>
      </c>
      <c r="C104" s="366"/>
      <c r="D104" s="366">
        <f>14</f>
        <v>14</v>
      </c>
      <c r="E104" s="367"/>
      <c r="F104" s="362"/>
      <c r="G104" s="362"/>
      <c r="H104" s="362">
        <f t="shared" si="100"/>
        <v>14</v>
      </c>
      <c r="I104" s="369" t="s">
        <v>19</v>
      </c>
      <c r="J104" s="362">
        <f t="shared" si="92"/>
        <v>14</v>
      </c>
      <c r="K104" s="363">
        <v>357</v>
      </c>
      <c r="L104" s="370">
        <f t="shared" si="93"/>
        <v>4998</v>
      </c>
      <c r="M104" s="490">
        <f t="shared" si="94"/>
        <v>298.09499999999997</v>
      </c>
      <c r="N104" s="489">
        <f t="shared" si="71"/>
        <v>4173.33</v>
      </c>
      <c r="O104" s="308"/>
      <c r="P104" s="422"/>
      <c r="Q104" s="497" t="s">
        <v>237</v>
      </c>
      <c r="R104" s="481">
        <f t="shared" si="78"/>
        <v>14</v>
      </c>
      <c r="S104" s="514">
        <f>[2]CM!$M$332</f>
        <v>32.840000000000003</v>
      </c>
      <c r="T104" s="515">
        <f t="shared" si="79"/>
        <v>459.76000000000005</v>
      </c>
      <c r="U104" s="482">
        <f t="shared" si="80"/>
        <v>14</v>
      </c>
      <c r="V104" s="514">
        <f>[2]CM!$P$332</f>
        <v>56.74</v>
      </c>
      <c r="W104" s="515">
        <f t="shared" si="95"/>
        <v>794.36</v>
      </c>
      <c r="X104" s="507">
        <f t="shared" si="96"/>
        <v>89.580000000000013</v>
      </c>
      <c r="Y104" s="520">
        <f t="shared" si="97"/>
        <v>208.51499999999996</v>
      </c>
      <c r="Z104" s="521">
        <f t="shared" si="98"/>
        <v>0.69949177275700691</v>
      </c>
    </row>
    <row r="105" spans="1:26" s="423" customFormat="1" x14ac:dyDescent="0.3">
      <c r="A105" s="399"/>
      <c r="B105" s="571" t="s">
        <v>157</v>
      </c>
      <c r="C105" s="366">
        <v>12</v>
      </c>
      <c r="D105" s="367"/>
      <c r="E105" s="367"/>
      <c r="F105" s="362"/>
      <c r="G105" s="362"/>
      <c r="H105" s="362">
        <f t="shared" si="100"/>
        <v>12</v>
      </c>
      <c r="I105" s="369" t="s">
        <v>18</v>
      </c>
      <c r="J105" s="362">
        <f t="shared" si="92"/>
        <v>12</v>
      </c>
      <c r="K105" s="363">
        <f>629.5*1.1</f>
        <v>692.45</v>
      </c>
      <c r="L105" s="370">
        <f t="shared" si="93"/>
        <v>8309.4000000000015</v>
      </c>
      <c r="M105" s="490">
        <f t="shared" si="94"/>
        <v>578.19574999999998</v>
      </c>
      <c r="N105" s="489">
        <f t="shared" si="71"/>
        <v>6938.3490000000002</v>
      </c>
      <c r="O105" s="308"/>
      <c r="P105" s="422"/>
      <c r="Q105" s="497"/>
      <c r="R105" s="481">
        <f t="shared" si="78"/>
        <v>12</v>
      </c>
      <c r="S105" s="514">
        <f>S95</f>
        <v>137.44</v>
      </c>
      <c r="T105" s="515">
        <f t="shared" si="79"/>
        <v>1649.28</v>
      </c>
      <c r="U105" s="482">
        <f t="shared" si="80"/>
        <v>12</v>
      </c>
      <c r="V105" s="514">
        <f>V95</f>
        <v>274.37</v>
      </c>
      <c r="W105" s="515">
        <f t="shared" si="95"/>
        <v>3292.44</v>
      </c>
      <c r="X105" s="507">
        <f t="shared" si="96"/>
        <v>411.81</v>
      </c>
      <c r="Y105" s="520">
        <f t="shared" si="97"/>
        <v>166.38574999999997</v>
      </c>
      <c r="Z105" s="521">
        <f t="shared" si="98"/>
        <v>0.28776716189975449</v>
      </c>
    </row>
    <row r="106" spans="1:26" s="423" customFormat="1" x14ac:dyDescent="0.3">
      <c r="A106" s="399"/>
      <c r="B106" s="571" t="s">
        <v>82</v>
      </c>
      <c r="C106" s="366">
        <v>8</v>
      </c>
      <c r="D106" s="367"/>
      <c r="E106" s="367"/>
      <c r="F106" s="362"/>
      <c r="G106" s="362"/>
      <c r="H106" s="362">
        <f t="shared" si="100"/>
        <v>8</v>
      </c>
      <c r="I106" s="369" t="s">
        <v>18</v>
      </c>
      <c r="J106" s="362">
        <f t="shared" si="92"/>
        <v>8</v>
      </c>
      <c r="K106" s="363">
        <v>330</v>
      </c>
      <c r="L106" s="370">
        <f t="shared" si="93"/>
        <v>2640</v>
      </c>
      <c r="M106" s="490">
        <f t="shared" si="94"/>
        <v>275.55</v>
      </c>
      <c r="N106" s="489">
        <f t="shared" si="71"/>
        <v>2204.4</v>
      </c>
      <c r="O106" s="308"/>
      <c r="P106" s="422"/>
      <c r="Q106" s="497"/>
      <c r="R106" s="481">
        <f t="shared" si="78"/>
        <v>8</v>
      </c>
      <c r="S106" s="514">
        <f>[2]CM!$M$341</f>
        <v>72.489999999999995</v>
      </c>
      <c r="T106" s="515">
        <f t="shared" si="79"/>
        <v>579.91999999999996</v>
      </c>
      <c r="U106" s="482">
        <f t="shared" si="80"/>
        <v>8</v>
      </c>
      <c r="V106" s="514">
        <f>[2]CM!$P$341</f>
        <v>110.58</v>
      </c>
      <c r="W106" s="515">
        <f t="shared" si="95"/>
        <v>884.64</v>
      </c>
      <c r="X106" s="507">
        <f t="shared" si="96"/>
        <v>183.07</v>
      </c>
      <c r="Y106" s="520">
        <f t="shared" si="97"/>
        <v>92.480000000000018</v>
      </c>
      <c r="Z106" s="521">
        <f t="shared" si="98"/>
        <v>0.33561966975140634</v>
      </c>
    </row>
    <row r="107" spans="1:26" s="423" customFormat="1" x14ac:dyDescent="0.3">
      <c r="A107" s="399"/>
      <c r="B107" s="571" t="s">
        <v>83</v>
      </c>
      <c r="C107" s="425"/>
      <c r="D107" s="367">
        <f>15.3+11.6+10.6+28.4+11.7+11.4+13</f>
        <v>102.00000000000001</v>
      </c>
      <c r="E107" s="367"/>
      <c r="F107" s="362"/>
      <c r="G107" s="362"/>
      <c r="H107" s="362">
        <f t="shared" si="100"/>
        <v>102.00000000000001</v>
      </c>
      <c r="I107" s="369" t="s">
        <v>19</v>
      </c>
      <c r="J107" s="362">
        <f t="shared" si="92"/>
        <v>102.00000000000001</v>
      </c>
      <c r="K107" s="363">
        <v>225</v>
      </c>
      <c r="L107" s="370">
        <f t="shared" si="93"/>
        <v>22950.000000000004</v>
      </c>
      <c r="M107" s="490">
        <f t="shared" si="94"/>
        <v>187.875</v>
      </c>
      <c r="N107" s="489">
        <f t="shared" si="71"/>
        <v>19163.250000000004</v>
      </c>
      <c r="O107" s="308"/>
      <c r="P107" s="426"/>
      <c r="Q107" s="497"/>
      <c r="R107" s="481">
        <f t="shared" si="78"/>
        <v>102.00000000000001</v>
      </c>
      <c r="S107" s="514">
        <f>[1]LAVORO!$P$276</f>
        <v>36.659999999999997</v>
      </c>
      <c r="T107" s="515">
        <f t="shared" si="79"/>
        <v>3739.32</v>
      </c>
      <c r="U107" s="482">
        <f t="shared" si="80"/>
        <v>102.00000000000001</v>
      </c>
      <c r="V107" s="514">
        <f>[1]LAVORO!$S$276</f>
        <v>105.28</v>
      </c>
      <c r="W107" s="515">
        <f t="shared" si="95"/>
        <v>10738.560000000001</v>
      </c>
      <c r="X107" s="507">
        <f t="shared" si="96"/>
        <v>141.94</v>
      </c>
      <c r="Y107" s="520">
        <f t="shared" si="97"/>
        <v>45.935000000000002</v>
      </c>
      <c r="Z107" s="521">
        <f t="shared" si="98"/>
        <v>0.24449767132401865</v>
      </c>
    </row>
    <row r="108" spans="1:26" s="423" customFormat="1" ht="13.8" x14ac:dyDescent="0.3">
      <c r="A108" s="399"/>
      <c r="B108" s="572" t="s">
        <v>84</v>
      </c>
      <c r="C108" s="366"/>
      <c r="D108" s="367"/>
      <c r="E108" s="367"/>
      <c r="F108" s="362"/>
      <c r="G108" s="362"/>
      <c r="H108" s="362"/>
      <c r="I108" s="369"/>
      <c r="J108" s="367"/>
      <c r="K108" s="363"/>
      <c r="L108" s="424"/>
      <c r="M108" s="497"/>
      <c r="N108" s="489" t="str">
        <f t="shared" si="71"/>
        <v/>
      </c>
      <c r="O108" s="308"/>
      <c r="P108" s="422"/>
      <c r="Q108" s="497"/>
      <c r="R108" s="481"/>
      <c r="S108" s="514"/>
      <c r="T108" s="515" t="str">
        <f t="shared" si="79"/>
        <v/>
      </c>
      <c r="U108" s="482" t="str">
        <f t="shared" si="80"/>
        <v/>
      </c>
      <c r="V108" s="514"/>
      <c r="W108" s="515" t="str">
        <f t="shared" si="81"/>
        <v/>
      </c>
      <c r="X108" s="517"/>
      <c r="Y108" s="517"/>
    </row>
    <row r="109" spans="1:26" s="423" customFormat="1" ht="13.8" x14ac:dyDescent="0.3">
      <c r="A109" s="399"/>
      <c r="B109" s="573"/>
      <c r="C109" s="366"/>
      <c r="D109" s="367"/>
      <c r="E109" s="367"/>
      <c r="F109" s="362"/>
      <c r="G109" s="362"/>
      <c r="H109" s="362"/>
      <c r="I109" s="369"/>
      <c r="J109" s="362"/>
      <c r="K109" s="363"/>
      <c r="L109" s="370"/>
      <c r="M109" s="490"/>
      <c r="N109" s="489" t="str">
        <f t="shared" si="71"/>
        <v/>
      </c>
      <c r="O109" s="308"/>
      <c r="P109" s="422"/>
      <c r="Q109" s="497"/>
      <c r="R109" s="481"/>
      <c r="S109" s="514"/>
      <c r="T109" s="515" t="str">
        <f t="shared" si="79"/>
        <v/>
      </c>
      <c r="U109" s="482" t="str">
        <f t="shared" si="80"/>
        <v/>
      </c>
      <c r="V109" s="514"/>
      <c r="W109" s="515" t="str">
        <f t="shared" si="81"/>
        <v/>
      </c>
      <c r="X109" s="517"/>
      <c r="Y109" s="517"/>
    </row>
    <row r="110" spans="1:26" s="423" customFormat="1" ht="13.8" x14ac:dyDescent="0.3">
      <c r="A110" s="399"/>
      <c r="B110" s="562" t="s">
        <v>85</v>
      </c>
      <c r="C110" s="366"/>
      <c r="D110" s="367"/>
      <c r="E110" s="367"/>
      <c r="F110" s="367"/>
      <c r="G110" s="367"/>
      <c r="H110" s="362"/>
      <c r="I110" s="369"/>
      <c r="J110" s="367"/>
      <c r="K110" s="363"/>
      <c r="L110" s="370"/>
      <c r="M110" s="490"/>
      <c r="N110" s="489" t="str">
        <f t="shared" si="71"/>
        <v/>
      </c>
      <c r="O110" s="308"/>
      <c r="P110" s="422"/>
      <c r="Q110" s="497"/>
      <c r="R110" s="481"/>
      <c r="S110" s="514"/>
      <c r="T110" s="515" t="str">
        <f t="shared" si="79"/>
        <v/>
      </c>
      <c r="U110" s="482" t="str">
        <f t="shared" si="80"/>
        <v/>
      </c>
      <c r="V110" s="514"/>
      <c r="W110" s="515" t="str">
        <f t="shared" si="81"/>
        <v/>
      </c>
      <c r="X110" s="517"/>
      <c r="Y110" s="517"/>
    </row>
    <row r="111" spans="1:26" s="423" customFormat="1" x14ac:dyDescent="0.3">
      <c r="A111" s="399"/>
      <c r="B111" s="571" t="s">
        <v>160</v>
      </c>
      <c r="C111" s="366"/>
      <c r="D111" s="367">
        <f>25+22.5+25+25+25+11+12.5+13.5+14</f>
        <v>173.5</v>
      </c>
      <c r="E111" s="367">
        <v>0.8</v>
      </c>
      <c r="F111" s="367"/>
      <c r="G111" s="367">
        <v>1.1000000000000001</v>
      </c>
      <c r="H111" s="362">
        <f>D111*E111*G111</f>
        <v>152.68000000000004</v>
      </c>
      <c r="I111" s="369" t="s">
        <v>22</v>
      </c>
      <c r="J111" s="367"/>
      <c r="K111" s="363"/>
      <c r="L111" s="370"/>
      <c r="M111" s="490"/>
      <c r="N111" s="489" t="str">
        <f t="shared" si="71"/>
        <v/>
      </c>
      <c r="O111" s="308"/>
      <c r="P111" s="422"/>
      <c r="Q111" s="497"/>
      <c r="R111" s="481"/>
      <c r="S111" s="514"/>
      <c r="T111" s="515" t="str">
        <f t="shared" si="79"/>
        <v/>
      </c>
      <c r="U111" s="482" t="str">
        <f t="shared" si="80"/>
        <v/>
      </c>
      <c r="V111" s="514"/>
      <c r="W111" s="515" t="str">
        <f t="shared" si="81"/>
        <v/>
      </c>
      <c r="X111" s="517"/>
      <c r="Y111" s="517"/>
    </row>
    <row r="112" spans="1:26" s="423" customFormat="1" x14ac:dyDescent="0.3">
      <c r="A112" s="399"/>
      <c r="B112" s="571" t="s">
        <v>159</v>
      </c>
      <c r="C112" s="366"/>
      <c r="D112" s="367">
        <f>SUM(D100:D104)-D111</f>
        <v>142</v>
      </c>
      <c r="E112" s="367">
        <v>0.8</v>
      </c>
      <c r="F112" s="367"/>
      <c r="G112" s="367">
        <v>1.2</v>
      </c>
      <c r="H112" s="362">
        <f>D112*E112*G112</f>
        <v>136.32</v>
      </c>
      <c r="I112" s="369" t="s">
        <v>22</v>
      </c>
      <c r="J112" s="367"/>
      <c r="K112" s="363"/>
      <c r="L112" s="370"/>
      <c r="M112" s="490"/>
      <c r="N112" s="489" t="str">
        <f t="shared" si="71"/>
        <v/>
      </c>
      <c r="O112" s="308"/>
      <c r="P112" s="422"/>
      <c r="Q112" s="497"/>
      <c r="R112" s="481"/>
      <c r="S112" s="514"/>
      <c r="T112" s="515" t="str">
        <f t="shared" si="79"/>
        <v/>
      </c>
      <c r="U112" s="482" t="str">
        <f t="shared" si="80"/>
        <v/>
      </c>
      <c r="V112" s="514"/>
      <c r="W112" s="515" t="str">
        <f t="shared" si="81"/>
        <v/>
      </c>
      <c r="X112" s="517"/>
      <c r="Y112" s="517"/>
    </row>
    <row r="113" spans="1:26" s="423" customFormat="1" x14ac:dyDescent="0.3">
      <c r="A113" s="399"/>
      <c r="B113" s="571" t="s">
        <v>161</v>
      </c>
      <c r="C113" s="366"/>
      <c r="D113" s="367">
        <f>J84</f>
        <v>156</v>
      </c>
      <c r="E113" s="367">
        <v>0.8</v>
      </c>
      <c r="F113" s="367"/>
      <c r="G113" s="367">
        <v>2.25</v>
      </c>
      <c r="H113" s="362">
        <f>D113*E113*G113</f>
        <v>280.8</v>
      </c>
      <c r="I113" s="369" t="s">
        <v>22</v>
      </c>
      <c r="J113" s="367"/>
      <c r="K113" s="363"/>
      <c r="L113" s="370"/>
      <c r="M113" s="490"/>
      <c r="N113" s="489" t="str">
        <f t="shared" si="71"/>
        <v/>
      </c>
      <c r="O113" s="308"/>
      <c r="P113" s="422"/>
      <c r="Q113" s="497"/>
      <c r="R113" s="481"/>
      <c r="S113" s="514"/>
      <c r="T113" s="515" t="str">
        <f t="shared" si="79"/>
        <v/>
      </c>
      <c r="U113" s="482" t="str">
        <f t="shared" si="80"/>
        <v/>
      </c>
      <c r="V113" s="514"/>
      <c r="W113" s="515" t="str">
        <f t="shared" si="81"/>
        <v/>
      </c>
      <c r="X113" s="517"/>
      <c r="Y113" s="517"/>
    </row>
    <row r="114" spans="1:26" s="423" customFormat="1" x14ac:dyDescent="0.3">
      <c r="A114" s="399"/>
      <c r="B114" s="571" t="s">
        <v>162</v>
      </c>
      <c r="C114" s="366"/>
      <c r="D114" s="367">
        <f>SUM(D93:D93)</f>
        <v>89</v>
      </c>
      <c r="E114" s="367">
        <v>0.8</v>
      </c>
      <c r="F114" s="367"/>
      <c r="G114" s="367">
        <v>1.3</v>
      </c>
      <c r="H114" s="362">
        <f>D114*E114*G114</f>
        <v>92.56</v>
      </c>
      <c r="I114" s="369" t="s">
        <v>22</v>
      </c>
      <c r="J114" s="367"/>
      <c r="K114" s="363"/>
      <c r="L114" s="370"/>
      <c r="M114" s="490"/>
      <c r="N114" s="489" t="str">
        <f t="shared" si="71"/>
        <v/>
      </c>
      <c r="O114" s="308"/>
      <c r="P114" s="422"/>
      <c r="Q114" s="497"/>
      <c r="R114" s="481"/>
      <c r="S114" s="514"/>
      <c r="T114" s="515" t="str">
        <f t="shared" si="79"/>
        <v/>
      </c>
      <c r="U114" s="482" t="str">
        <f t="shared" si="80"/>
        <v/>
      </c>
      <c r="V114" s="514"/>
      <c r="W114" s="515" t="str">
        <f t="shared" si="81"/>
        <v/>
      </c>
      <c r="X114" s="517"/>
      <c r="Y114" s="517"/>
    </row>
    <row r="115" spans="1:26" s="423" customFormat="1" ht="13.8" x14ac:dyDescent="0.3">
      <c r="A115" s="399"/>
      <c r="B115" s="558" t="s">
        <v>86</v>
      </c>
      <c r="C115" s="366"/>
      <c r="D115" s="367"/>
      <c r="E115" s="367"/>
      <c r="F115" s="367"/>
      <c r="G115" s="427" t="s">
        <v>87</v>
      </c>
      <c r="H115" s="427">
        <f>SUM(H111:H114)</f>
        <v>662.3599999999999</v>
      </c>
      <c r="I115" s="369" t="s">
        <v>22</v>
      </c>
      <c r="J115" s="403">
        <f>H115</f>
        <v>662.3599999999999</v>
      </c>
      <c r="K115" s="363">
        <v>11</v>
      </c>
      <c r="L115" s="370">
        <f t="shared" ref="L115" si="101">J115*K115</f>
        <v>7285.9599999999991</v>
      </c>
      <c r="M115" s="490">
        <f t="shared" ref="M115" si="102">K115*(100%-16.5%)</f>
        <v>9.1849999999999987</v>
      </c>
      <c r="N115" s="489">
        <f t="shared" si="71"/>
        <v>6083.7765999999983</v>
      </c>
      <c r="O115" s="308"/>
      <c r="P115" s="422"/>
      <c r="Q115" s="497"/>
      <c r="R115" s="481">
        <f t="shared" si="78"/>
        <v>662.3599999999999</v>
      </c>
      <c r="S115" s="514">
        <f>[2]CM!$M$515</f>
        <v>8.6300000000000008</v>
      </c>
      <c r="T115" s="515">
        <f t="shared" si="79"/>
        <v>5716.1668</v>
      </c>
      <c r="U115" s="482">
        <f t="shared" si="80"/>
        <v>662.3599999999999</v>
      </c>
      <c r="V115" s="514"/>
      <c r="W115" s="515" t="str">
        <f t="shared" ref="W115" si="103">IF(V115&gt;0,V115*U115,"")</f>
        <v/>
      </c>
      <c r="X115" s="507">
        <f t="shared" ref="X115" si="104">V115+S115</f>
        <v>8.6300000000000008</v>
      </c>
      <c r="Y115" s="520">
        <f t="shared" ref="Y115" si="105">M115-X115</f>
        <v>0.55499999999999794</v>
      </c>
      <c r="Z115" s="521">
        <f t="shared" ref="Z115" si="106">Y115/M115</f>
        <v>6.0424605334784762E-2</v>
      </c>
    </row>
    <row r="116" spans="1:26" s="423" customFormat="1" ht="13.8" x14ac:dyDescent="0.3">
      <c r="A116" s="399"/>
      <c r="B116" s="558"/>
      <c r="C116" s="366"/>
      <c r="D116" s="367"/>
      <c r="E116" s="367"/>
      <c r="F116" s="367"/>
      <c r="G116" s="427"/>
      <c r="H116" s="427"/>
      <c r="I116" s="369"/>
      <c r="J116" s="403"/>
      <c r="K116" s="363"/>
      <c r="L116" s="370"/>
      <c r="M116" s="490"/>
      <c r="N116" s="489" t="str">
        <f t="shared" si="71"/>
        <v/>
      </c>
      <c r="O116" s="308"/>
      <c r="P116" s="422"/>
      <c r="Q116" s="497"/>
      <c r="R116" s="481"/>
      <c r="S116" s="514"/>
      <c r="T116" s="515" t="str">
        <f t="shared" si="79"/>
        <v/>
      </c>
      <c r="U116" s="482" t="str">
        <f t="shared" si="80"/>
        <v/>
      </c>
      <c r="V116" s="514"/>
      <c r="W116" s="515" t="str">
        <f t="shared" si="81"/>
        <v/>
      </c>
      <c r="X116" s="517"/>
      <c r="Y116" s="517"/>
    </row>
    <row r="117" spans="1:26" s="423" customFormat="1" ht="13.8" x14ac:dyDescent="0.3">
      <c r="A117" s="399"/>
      <c r="B117" s="562" t="s">
        <v>88</v>
      </c>
      <c r="C117" s="366"/>
      <c r="D117" s="367"/>
      <c r="E117" s="367"/>
      <c r="F117" s="367"/>
      <c r="G117" s="367"/>
      <c r="H117" s="367"/>
      <c r="I117" s="369"/>
      <c r="J117" s="367"/>
      <c r="K117" s="363"/>
      <c r="L117" s="370"/>
      <c r="M117" s="490"/>
      <c r="N117" s="489" t="str">
        <f t="shared" si="71"/>
        <v/>
      </c>
      <c r="O117" s="308"/>
      <c r="P117" s="422"/>
      <c r="Q117" s="497"/>
      <c r="R117" s="481"/>
      <c r="S117" s="514"/>
      <c r="T117" s="515" t="str">
        <f t="shared" si="79"/>
        <v/>
      </c>
      <c r="U117" s="482" t="str">
        <f t="shared" si="80"/>
        <v/>
      </c>
      <c r="V117" s="514"/>
      <c r="W117" s="515" t="str">
        <f t="shared" si="81"/>
        <v/>
      </c>
      <c r="X117" s="517"/>
      <c r="Y117" s="517"/>
    </row>
    <row r="118" spans="1:26" s="423" customFormat="1" x14ac:dyDescent="0.3">
      <c r="A118" s="399"/>
      <c r="B118" s="571" t="s">
        <v>196</v>
      </c>
      <c r="C118" s="366"/>
      <c r="D118" s="367">
        <f>5+9+17+17</f>
        <v>48</v>
      </c>
      <c r="E118" s="367"/>
      <c r="F118" s="362"/>
      <c r="G118" s="362"/>
      <c r="H118" s="362">
        <f>+PRODUCT(C118:G118)</f>
        <v>48</v>
      </c>
      <c r="I118" s="369" t="s">
        <v>19</v>
      </c>
      <c r="J118" s="362">
        <f t="shared" ref="J118:J127" si="107">+PRODUCT(C118:G118)</f>
        <v>48</v>
      </c>
      <c r="K118" s="363">
        <f>24.5+(8*6)</f>
        <v>72.5</v>
      </c>
      <c r="L118" s="370">
        <f t="shared" ref="L118:L127" si="108">J118*K118</f>
        <v>3480</v>
      </c>
      <c r="M118" s="490">
        <f t="shared" ref="M118:M127" si="109">K118*(100%-16.5%)</f>
        <v>60.537499999999994</v>
      </c>
      <c r="N118" s="489">
        <f t="shared" si="71"/>
        <v>2905.7999999999997</v>
      </c>
      <c r="O118" s="308"/>
      <c r="P118" s="422"/>
      <c r="Q118" s="497"/>
      <c r="R118" s="481">
        <f t="shared" si="78"/>
        <v>48</v>
      </c>
      <c r="S118" s="514">
        <f>[1]LAVORO!$P$418</f>
        <v>8.6300000000000008</v>
      </c>
      <c r="T118" s="515">
        <f t="shared" si="79"/>
        <v>414.24</v>
      </c>
      <c r="U118" s="482">
        <f t="shared" si="80"/>
        <v>48</v>
      </c>
      <c r="V118" s="514">
        <f>[1]LAVORO!$S$418</f>
        <v>5.5</v>
      </c>
      <c r="W118" s="515">
        <f t="shared" ref="W118:W127" si="110">IF(V118&gt;0,V118*U118,"")</f>
        <v>264</v>
      </c>
      <c r="X118" s="507">
        <f t="shared" ref="X118:X127" si="111">V118+S118</f>
        <v>14.13</v>
      </c>
      <c r="Y118" s="520">
        <f t="shared" ref="Y118:Y127" si="112">M118-X118</f>
        <v>46.407499999999992</v>
      </c>
      <c r="Z118" s="521">
        <f t="shared" ref="Z118:Z127" si="113">Y118/M118</f>
        <v>0.76659095601899641</v>
      </c>
    </row>
    <row r="119" spans="1:26" s="423" customFormat="1" x14ac:dyDescent="0.3">
      <c r="A119" s="399"/>
      <c r="B119" s="571" t="s">
        <v>197</v>
      </c>
      <c r="C119" s="366"/>
      <c r="D119" s="367">
        <f>16+19+18</f>
        <v>53</v>
      </c>
      <c r="E119" s="367"/>
      <c r="F119" s="362"/>
      <c r="G119" s="362"/>
      <c r="H119" s="362">
        <f t="shared" ref="H119:H121" si="114">+PRODUCT(C119:G119)</f>
        <v>53</v>
      </c>
      <c r="I119" s="369" t="s">
        <v>19</v>
      </c>
      <c r="J119" s="362">
        <f t="shared" si="107"/>
        <v>53</v>
      </c>
      <c r="K119" s="363">
        <f>24.5+(5*8)</f>
        <v>64.5</v>
      </c>
      <c r="L119" s="370">
        <f t="shared" si="108"/>
        <v>3418.5</v>
      </c>
      <c r="M119" s="490">
        <f t="shared" si="109"/>
        <v>53.857499999999995</v>
      </c>
      <c r="N119" s="489">
        <f t="shared" si="71"/>
        <v>2854.4474999999998</v>
      </c>
      <c r="O119" s="308"/>
      <c r="P119" s="422"/>
      <c r="Q119" s="497"/>
      <c r="R119" s="481">
        <f t="shared" si="78"/>
        <v>53</v>
      </c>
      <c r="S119" s="514">
        <f>S118</f>
        <v>8.6300000000000008</v>
      </c>
      <c r="T119" s="515">
        <f t="shared" si="79"/>
        <v>457.39000000000004</v>
      </c>
      <c r="U119" s="482">
        <f t="shared" si="80"/>
        <v>53</v>
      </c>
      <c r="V119" s="514">
        <f>V118</f>
        <v>5.5</v>
      </c>
      <c r="W119" s="515">
        <f t="shared" si="110"/>
        <v>291.5</v>
      </c>
      <c r="X119" s="507">
        <f t="shared" si="111"/>
        <v>14.13</v>
      </c>
      <c r="Y119" s="520">
        <f t="shared" si="112"/>
        <v>39.727499999999992</v>
      </c>
      <c r="Z119" s="521">
        <f t="shared" si="113"/>
        <v>0.73764099707561614</v>
      </c>
    </row>
    <row r="120" spans="1:26" s="423" customFormat="1" x14ac:dyDescent="0.3">
      <c r="A120" s="399"/>
      <c r="B120" s="571" t="s">
        <v>198</v>
      </c>
      <c r="C120" s="366"/>
      <c r="D120" s="367">
        <v>18</v>
      </c>
      <c r="E120" s="367"/>
      <c r="F120" s="362"/>
      <c r="G120" s="362"/>
      <c r="H120" s="362">
        <f t="shared" si="114"/>
        <v>18</v>
      </c>
      <c r="I120" s="369" t="s">
        <v>19</v>
      </c>
      <c r="J120" s="362">
        <f t="shared" si="107"/>
        <v>18</v>
      </c>
      <c r="K120" s="363">
        <f>24.5+(3*8)</f>
        <v>48.5</v>
      </c>
      <c r="L120" s="370">
        <f t="shared" si="108"/>
        <v>873</v>
      </c>
      <c r="M120" s="490">
        <f t="shared" si="109"/>
        <v>40.497499999999995</v>
      </c>
      <c r="N120" s="489">
        <f t="shared" si="71"/>
        <v>728.95499999999993</v>
      </c>
      <c r="O120" s="308"/>
      <c r="P120" s="422"/>
      <c r="Q120" s="497"/>
      <c r="R120" s="481">
        <f t="shared" si="78"/>
        <v>18</v>
      </c>
      <c r="S120" s="514">
        <f t="shared" ref="S120:S123" si="115">S119</f>
        <v>8.6300000000000008</v>
      </c>
      <c r="T120" s="515">
        <f t="shared" si="79"/>
        <v>155.34</v>
      </c>
      <c r="U120" s="482">
        <f t="shared" si="80"/>
        <v>18</v>
      </c>
      <c r="V120" s="514">
        <f t="shared" ref="V120:V123" si="116">V119</f>
        <v>5.5</v>
      </c>
      <c r="W120" s="515">
        <f t="shared" si="110"/>
        <v>99</v>
      </c>
      <c r="X120" s="507">
        <f t="shared" si="111"/>
        <v>14.13</v>
      </c>
      <c r="Y120" s="520">
        <f t="shared" si="112"/>
        <v>26.367499999999993</v>
      </c>
      <c r="Z120" s="521">
        <f t="shared" si="113"/>
        <v>0.65108957343045859</v>
      </c>
    </row>
    <row r="121" spans="1:26" s="423" customFormat="1" x14ac:dyDescent="0.3">
      <c r="A121" s="399"/>
      <c r="B121" s="571" t="s">
        <v>199</v>
      </c>
      <c r="C121" s="366"/>
      <c r="D121" s="367">
        <f>18+(2*8)</f>
        <v>34</v>
      </c>
      <c r="E121" s="367"/>
      <c r="F121" s="362"/>
      <c r="G121" s="362"/>
      <c r="H121" s="362">
        <f t="shared" si="114"/>
        <v>34</v>
      </c>
      <c r="I121" s="369" t="s">
        <v>19</v>
      </c>
      <c r="J121" s="362">
        <f t="shared" si="107"/>
        <v>34</v>
      </c>
      <c r="K121" s="363">
        <v>36.5</v>
      </c>
      <c r="L121" s="370">
        <f t="shared" si="108"/>
        <v>1241</v>
      </c>
      <c r="M121" s="490">
        <f t="shared" si="109"/>
        <v>30.477499999999999</v>
      </c>
      <c r="N121" s="489">
        <f t="shared" si="71"/>
        <v>1036.2349999999999</v>
      </c>
      <c r="O121" s="308"/>
      <c r="P121" s="422"/>
      <c r="Q121" s="497"/>
      <c r="R121" s="481">
        <f t="shared" si="78"/>
        <v>34</v>
      </c>
      <c r="S121" s="514">
        <f t="shared" si="115"/>
        <v>8.6300000000000008</v>
      </c>
      <c r="T121" s="515">
        <f t="shared" si="79"/>
        <v>293.42</v>
      </c>
      <c r="U121" s="482">
        <f t="shared" si="80"/>
        <v>34</v>
      </c>
      <c r="V121" s="514">
        <f t="shared" si="116"/>
        <v>5.5</v>
      </c>
      <c r="W121" s="515">
        <f t="shared" si="110"/>
        <v>187</v>
      </c>
      <c r="X121" s="507">
        <f t="shared" si="111"/>
        <v>14.13</v>
      </c>
      <c r="Y121" s="520">
        <f t="shared" si="112"/>
        <v>16.347499999999997</v>
      </c>
      <c r="Z121" s="521">
        <f t="shared" si="113"/>
        <v>0.53637929620211622</v>
      </c>
    </row>
    <row r="122" spans="1:26" s="423" customFormat="1" x14ac:dyDescent="0.3">
      <c r="A122" s="399"/>
      <c r="B122" s="571" t="s">
        <v>195</v>
      </c>
      <c r="C122" s="366"/>
      <c r="D122" s="367">
        <f>5+9+17+17+16+19+18+18+18+(2*8)</f>
        <v>153</v>
      </c>
      <c r="E122" s="367"/>
      <c r="F122" s="367"/>
      <c r="G122" s="427"/>
      <c r="H122" s="362">
        <f>+PRODUCT(C122:G122)</f>
        <v>153</v>
      </c>
      <c r="I122" s="369" t="s">
        <v>19</v>
      </c>
      <c r="J122" s="362">
        <f t="shared" si="107"/>
        <v>153</v>
      </c>
      <c r="K122" s="363">
        <v>36.5</v>
      </c>
      <c r="L122" s="370">
        <f t="shared" si="108"/>
        <v>5584.5</v>
      </c>
      <c r="M122" s="490">
        <f t="shared" si="109"/>
        <v>30.477499999999999</v>
      </c>
      <c r="N122" s="489">
        <f t="shared" si="71"/>
        <v>4663.0574999999999</v>
      </c>
      <c r="O122" s="308"/>
      <c r="P122" s="422"/>
      <c r="Q122" s="497"/>
      <c r="R122" s="481">
        <f t="shared" si="78"/>
        <v>153</v>
      </c>
      <c r="S122" s="514">
        <f t="shared" si="115"/>
        <v>8.6300000000000008</v>
      </c>
      <c r="T122" s="515">
        <f t="shared" si="79"/>
        <v>1320.39</v>
      </c>
      <c r="U122" s="482">
        <f t="shared" si="80"/>
        <v>153</v>
      </c>
      <c r="V122" s="514">
        <f t="shared" si="116"/>
        <v>5.5</v>
      </c>
      <c r="W122" s="515">
        <f t="shared" si="110"/>
        <v>841.5</v>
      </c>
      <c r="X122" s="507">
        <f t="shared" si="111"/>
        <v>14.13</v>
      </c>
      <c r="Y122" s="520">
        <f t="shared" si="112"/>
        <v>16.347499999999997</v>
      </c>
      <c r="Z122" s="521">
        <f t="shared" si="113"/>
        <v>0.53637929620211622</v>
      </c>
    </row>
    <row r="123" spans="1:26" s="423" customFormat="1" x14ac:dyDescent="0.3">
      <c r="A123" s="399"/>
      <c r="B123" s="571" t="s">
        <v>89</v>
      </c>
      <c r="C123" s="366"/>
      <c r="D123" s="367">
        <v>535</v>
      </c>
      <c r="E123" s="367"/>
      <c r="F123" s="367"/>
      <c r="G123" s="427"/>
      <c r="H123" s="362">
        <f>+PRODUCT(C123:G123)</f>
        <v>535</v>
      </c>
      <c r="I123" s="369" t="s">
        <v>19</v>
      </c>
      <c r="J123" s="362">
        <f t="shared" si="107"/>
        <v>535</v>
      </c>
      <c r="K123" s="363">
        <v>15</v>
      </c>
      <c r="L123" s="370">
        <f t="shared" si="108"/>
        <v>8025</v>
      </c>
      <c r="M123" s="490">
        <f t="shared" si="109"/>
        <v>12.524999999999999</v>
      </c>
      <c r="N123" s="489">
        <f t="shared" si="71"/>
        <v>6700.8749999999991</v>
      </c>
      <c r="O123" s="308"/>
      <c r="P123" s="422"/>
      <c r="Q123" s="497"/>
      <c r="R123" s="481">
        <f t="shared" si="78"/>
        <v>535</v>
      </c>
      <c r="S123" s="526"/>
      <c r="T123" s="515" t="str">
        <f t="shared" si="79"/>
        <v/>
      </c>
      <c r="U123" s="482">
        <f t="shared" si="80"/>
        <v>535</v>
      </c>
      <c r="V123" s="524"/>
      <c r="W123" s="515" t="str">
        <f t="shared" si="110"/>
        <v/>
      </c>
      <c r="X123" s="507">
        <f t="shared" si="111"/>
        <v>0</v>
      </c>
      <c r="Y123" s="520">
        <f t="shared" si="112"/>
        <v>12.524999999999999</v>
      </c>
      <c r="Z123" s="521">
        <f t="shared" si="113"/>
        <v>1</v>
      </c>
    </row>
    <row r="124" spans="1:26" s="423" customFormat="1" x14ac:dyDescent="0.3">
      <c r="A124" s="399"/>
      <c r="B124" s="571" t="s">
        <v>90</v>
      </c>
      <c r="C124" s="366">
        <v>12</v>
      </c>
      <c r="D124" s="367"/>
      <c r="E124" s="367"/>
      <c r="F124" s="362"/>
      <c r="G124" s="362"/>
      <c r="H124" s="362">
        <f t="shared" ref="H124:H127" si="117">+PRODUCT(C124:G124)</f>
        <v>12</v>
      </c>
      <c r="I124" s="369" t="s">
        <v>18</v>
      </c>
      <c r="J124" s="362">
        <f t="shared" si="107"/>
        <v>12</v>
      </c>
      <c r="K124" s="363">
        <v>200</v>
      </c>
      <c r="L124" s="370">
        <f t="shared" si="108"/>
        <v>2400</v>
      </c>
      <c r="M124" s="490">
        <f t="shared" si="109"/>
        <v>167</v>
      </c>
      <c r="N124" s="489">
        <f t="shared" si="71"/>
        <v>2004</v>
      </c>
      <c r="O124" s="308"/>
      <c r="P124" s="422"/>
      <c r="Q124" s="497"/>
      <c r="R124" s="481">
        <f t="shared" si="78"/>
        <v>12</v>
      </c>
      <c r="S124" s="514">
        <f>[1]LAVORO!$P$431/[1]LAVORO!$I$431*K124</f>
        <v>33.326666666666668</v>
      </c>
      <c r="T124" s="515">
        <f t="shared" si="79"/>
        <v>399.92</v>
      </c>
      <c r="U124" s="482">
        <f t="shared" si="80"/>
        <v>12</v>
      </c>
      <c r="V124" s="514">
        <f>[1]LAVORO!$S$431/[1]LAVORO!$I$431*K124</f>
        <v>90.220000000000013</v>
      </c>
      <c r="W124" s="515">
        <f t="shared" si="110"/>
        <v>1082.6400000000001</v>
      </c>
      <c r="X124" s="507">
        <f t="shared" si="111"/>
        <v>123.54666666666668</v>
      </c>
      <c r="Y124" s="520">
        <f t="shared" si="112"/>
        <v>43.453333333333319</v>
      </c>
      <c r="Z124" s="521">
        <f t="shared" si="113"/>
        <v>0.2601996007984031</v>
      </c>
    </row>
    <row r="125" spans="1:26" s="423" customFormat="1" x14ac:dyDescent="0.3">
      <c r="A125" s="399"/>
      <c r="B125" s="571" t="s">
        <v>91</v>
      </c>
      <c r="C125" s="366">
        <v>1</v>
      </c>
      <c r="D125" s="367"/>
      <c r="E125" s="367"/>
      <c r="F125" s="362"/>
      <c r="G125" s="362"/>
      <c r="H125" s="362">
        <f t="shared" si="117"/>
        <v>1</v>
      </c>
      <c r="I125" s="369" t="s">
        <v>18</v>
      </c>
      <c r="J125" s="362">
        <f t="shared" si="107"/>
        <v>1</v>
      </c>
      <c r="K125" s="363">
        <v>399.85</v>
      </c>
      <c r="L125" s="370">
        <f t="shared" si="108"/>
        <v>399.85</v>
      </c>
      <c r="M125" s="490">
        <f t="shared" si="109"/>
        <v>333.87475000000001</v>
      </c>
      <c r="N125" s="489">
        <f t="shared" si="71"/>
        <v>333.87475000000001</v>
      </c>
      <c r="O125" s="308"/>
      <c r="P125" s="422"/>
      <c r="Q125" s="497"/>
      <c r="R125" s="481">
        <f t="shared" si="78"/>
        <v>1</v>
      </c>
      <c r="S125" s="514">
        <f>[2]CM!$M$351</f>
        <v>101.96</v>
      </c>
      <c r="T125" s="515">
        <f t="shared" si="79"/>
        <v>101.96</v>
      </c>
      <c r="U125" s="482">
        <f t="shared" si="80"/>
        <v>1</v>
      </c>
      <c r="V125" s="514">
        <f>[2]CM!$P$351</f>
        <v>177.08</v>
      </c>
      <c r="W125" s="515">
        <f t="shared" si="110"/>
        <v>177.08</v>
      </c>
      <c r="X125" s="507">
        <f t="shared" si="111"/>
        <v>279.04000000000002</v>
      </c>
      <c r="Y125" s="520">
        <f t="shared" si="112"/>
        <v>54.834749999999985</v>
      </c>
      <c r="Z125" s="521">
        <f t="shared" si="113"/>
        <v>0.16423748726131576</v>
      </c>
    </row>
    <row r="126" spans="1:26" s="423" customFormat="1" x14ac:dyDescent="0.3">
      <c r="A126" s="399"/>
      <c r="B126" s="571" t="s">
        <v>92</v>
      </c>
      <c r="C126" s="366">
        <v>8</v>
      </c>
      <c r="D126" s="367"/>
      <c r="E126" s="367"/>
      <c r="F126" s="362"/>
      <c r="G126" s="362"/>
      <c r="H126" s="362">
        <f t="shared" si="117"/>
        <v>8</v>
      </c>
      <c r="I126" s="369" t="s">
        <v>18</v>
      </c>
      <c r="J126" s="362">
        <f t="shared" si="107"/>
        <v>8</v>
      </c>
      <c r="K126" s="363">
        <v>1314</v>
      </c>
      <c r="L126" s="370">
        <f t="shared" si="108"/>
        <v>10512</v>
      </c>
      <c r="M126" s="490">
        <f t="shared" si="109"/>
        <v>1097.19</v>
      </c>
      <c r="N126" s="489">
        <f t="shared" si="71"/>
        <v>8777.52</v>
      </c>
      <c r="O126" s="308"/>
      <c r="P126" s="422"/>
      <c r="Q126" s="497"/>
      <c r="R126" s="481">
        <f t="shared" si="78"/>
        <v>8</v>
      </c>
      <c r="S126" s="514">
        <f>[2]CM!$M$353</f>
        <v>361.19</v>
      </c>
      <c r="T126" s="515">
        <f t="shared" si="79"/>
        <v>2889.52</v>
      </c>
      <c r="U126" s="482">
        <f t="shared" si="80"/>
        <v>8</v>
      </c>
      <c r="V126" s="514">
        <f>[2]CM!$P$353</f>
        <v>364.76</v>
      </c>
      <c r="W126" s="515">
        <f t="shared" si="110"/>
        <v>2918.08</v>
      </c>
      <c r="X126" s="507">
        <f t="shared" si="111"/>
        <v>725.95</v>
      </c>
      <c r="Y126" s="520">
        <f t="shared" si="112"/>
        <v>371.24</v>
      </c>
      <c r="Z126" s="521">
        <f t="shared" si="113"/>
        <v>0.33835525296439084</v>
      </c>
    </row>
    <row r="127" spans="1:26" s="423" customFormat="1" x14ac:dyDescent="0.3">
      <c r="A127" s="399"/>
      <c r="B127" s="571" t="s">
        <v>93</v>
      </c>
      <c r="C127" s="366"/>
      <c r="D127" s="367">
        <f>D122+D123</f>
        <v>688</v>
      </c>
      <c r="E127" s="367">
        <v>0.5</v>
      </c>
      <c r="F127" s="362"/>
      <c r="G127" s="362">
        <v>0.8</v>
      </c>
      <c r="H127" s="362">
        <f t="shared" si="117"/>
        <v>275.2</v>
      </c>
      <c r="I127" s="369" t="s">
        <v>22</v>
      </c>
      <c r="J127" s="362">
        <f t="shared" si="107"/>
        <v>275.2</v>
      </c>
      <c r="K127" s="363">
        <v>15</v>
      </c>
      <c r="L127" s="370">
        <f t="shared" si="108"/>
        <v>4128</v>
      </c>
      <c r="M127" s="490">
        <f t="shared" si="109"/>
        <v>12.524999999999999</v>
      </c>
      <c r="N127" s="489">
        <f t="shared" si="71"/>
        <v>3446.8799999999997</v>
      </c>
      <c r="O127" s="308"/>
      <c r="P127" s="422"/>
      <c r="Q127" s="497"/>
      <c r="R127" s="481">
        <f t="shared" si="78"/>
        <v>275.2</v>
      </c>
      <c r="S127" s="514">
        <f>[2]CM!$M$515</f>
        <v>8.6300000000000008</v>
      </c>
      <c r="T127" s="515">
        <f t="shared" si="79"/>
        <v>2374.9760000000001</v>
      </c>
      <c r="U127" s="482">
        <f t="shared" si="80"/>
        <v>275.2</v>
      </c>
      <c r="V127" s="514">
        <f>[2]CM!$P$515</f>
        <v>5.5</v>
      </c>
      <c r="W127" s="515">
        <f t="shared" si="110"/>
        <v>1513.6</v>
      </c>
      <c r="X127" s="507">
        <f t="shared" si="111"/>
        <v>14.13</v>
      </c>
      <c r="Y127" s="520">
        <f t="shared" si="112"/>
        <v>-1.6050000000000022</v>
      </c>
      <c r="Z127" s="521">
        <f t="shared" si="113"/>
        <v>-0.12814371257485049</v>
      </c>
    </row>
    <row r="128" spans="1:26" s="423" customFormat="1" x14ac:dyDescent="0.3">
      <c r="A128" s="399"/>
      <c r="B128" s="571"/>
      <c r="C128" s="366"/>
      <c r="D128" s="367"/>
      <c r="E128" s="367"/>
      <c r="F128" s="362"/>
      <c r="G128" s="362"/>
      <c r="H128" s="362"/>
      <c r="I128" s="369"/>
      <c r="J128" s="362"/>
      <c r="K128" s="363"/>
      <c r="L128" s="370"/>
      <c r="M128" s="490"/>
      <c r="N128" s="489" t="str">
        <f t="shared" si="71"/>
        <v/>
      </c>
      <c r="O128" s="308"/>
      <c r="P128" s="422"/>
      <c r="Q128" s="497"/>
      <c r="R128" s="481"/>
      <c r="S128" s="514"/>
      <c r="T128" s="515" t="str">
        <f t="shared" si="79"/>
        <v/>
      </c>
      <c r="U128" s="482" t="str">
        <f t="shared" si="80"/>
        <v/>
      </c>
      <c r="V128" s="514"/>
      <c r="W128" s="515" t="str">
        <f t="shared" si="81"/>
        <v/>
      </c>
      <c r="X128" s="517"/>
      <c r="Y128" s="517"/>
    </row>
    <row r="129" spans="1:26" s="423" customFormat="1" ht="13.8" x14ac:dyDescent="0.3">
      <c r="A129" s="399"/>
      <c r="B129" s="562" t="s">
        <v>94</v>
      </c>
      <c r="C129" s="366"/>
      <c r="D129" s="367"/>
      <c r="E129" s="367"/>
      <c r="F129" s="367"/>
      <c r="G129" s="367"/>
      <c r="H129" s="367"/>
      <c r="I129" s="369"/>
      <c r="J129" s="367"/>
      <c r="K129" s="363"/>
      <c r="L129" s="370"/>
      <c r="M129" s="490"/>
      <c r="N129" s="489" t="str">
        <f t="shared" si="71"/>
        <v/>
      </c>
      <c r="O129" s="308"/>
      <c r="P129" s="422"/>
      <c r="Q129" s="497"/>
      <c r="R129" s="481"/>
      <c r="S129" s="514"/>
      <c r="T129" s="515" t="str">
        <f t="shared" si="79"/>
        <v/>
      </c>
      <c r="U129" s="482" t="str">
        <f t="shared" si="80"/>
        <v/>
      </c>
      <c r="V129" s="514"/>
      <c r="W129" s="515" t="str">
        <f t="shared" si="81"/>
        <v/>
      </c>
      <c r="X129" s="517"/>
      <c r="Y129" s="517"/>
    </row>
    <row r="130" spans="1:26" s="423" customFormat="1" x14ac:dyDescent="0.3">
      <c r="A130" s="399"/>
      <c r="B130" s="571" t="s">
        <v>95</v>
      </c>
      <c r="C130" s="366"/>
      <c r="D130" s="367">
        <f>496+58</f>
        <v>554</v>
      </c>
      <c r="E130" s="367"/>
      <c r="F130" s="362"/>
      <c r="G130" s="362"/>
      <c r="H130" s="362">
        <f>+PRODUCT(C130:G130)</f>
        <v>554</v>
      </c>
      <c r="I130" s="369" t="s">
        <v>19</v>
      </c>
      <c r="J130" s="362">
        <f>+PRODUCT(C130:G130)</f>
        <v>554</v>
      </c>
      <c r="K130" s="363">
        <v>21</v>
      </c>
      <c r="L130" s="370">
        <f t="shared" ref="L130" si="118">J130*K130</f>
        <v>11634</v>
      </c>
      <c r="M130" s="490">
        <f t="shared" ref="M130" si="119">K130*(100%-16.5%)</f>
        <v>17.535</v>
      </c>
      <c r="N130" s="489">
        <f t="shared" si="71"/>
        <v>9714.39</v>
      </c>
      <c r="O130" s="308" t="s">
        <v>204</v>
      </c>
      <c r="P130" s="422"/>
      <c r="Q130" s="497" t="s">
        <v>204</v>
      </c>
      <c r="R130" s="481">
        <f t="shared" si="78"/>
        <v>554</v>
      </c>
      <c r="S130" s="526">
        <f>[2]CM!$M$515</f>
        <v>8.6300000000000008</v>
      </c>
      <c r="T130" s="515">
        <f t="shared" si="79"/>
        <v>4781.0200000000004</v>
      </c>
      <c r="U130" s="482">
        <f t="shared" si="80"/>
        <v>554</v>
      </c>
      <c r="V130" s="526">
        <f>[2]CM!$P$515</f>
        <v>5.5</v>
      </c>
      <c r="W130" s="515">
        <f t="shared" ref="W130" si="120">IF(V130&gt;0,V130*U130,"")</f>
        <v>3047</v>
      </c>
      <c r="X130" s="507">
        <f t="shared" ref="X130" si="121">V130+S130</f>
        <v>14.13</v>
      </c>
      <c r="Y130" s="520">
        <f t="shared" ref="Y130" si="122">M130-X130</f>
        <v>3.4049999999999994</v>
      </c>
      <c r="Z130" s="521">
        <f t="shared" ref="Z130" si="123">Y130/M130</f>
        <v>0.19418306244653546</v>
      </c>
    </row>
    <row r="131" spans="1:26" s="423" customFormat="1" x14ac:dyDescent="0.3">
      <c r="A131" s="399"/>
      <c r="B131" s="571"/>
      <c r="C131" s="366"/>
      <c r="D131" s="367"/>
      <c r="E131" s="367"/>
      <c r="F131" s="362"/>
      <c r="G131" s="362"/>
      <c r="H131" s="362"/>
      <c r="I131" s="369"/>
      <c r="J131" s="362"/>
      <c r="K131" s="363"/>
      <c r="L131" s="370"/>
      <c r="M131" s="490"/>
      <c r="N131" s="489" t="str">
        <f t="shared" si="71"/>
        <v/>
      </c>
      <c r="O131" s="308"/>
      <c r="P131" s="422"/>
      <c r="Q131" s="497"/>
      <c r="R131" s="481"/>
      <c r="S131" s="526"/>
      <c r="T131" s="515" t="str">
        <f t="shared" si="79"/>
        <v/>
      </c>
      <c r="U131" s="482" t="str">
        <f t="shared" si="80"/>
        <v/>
      </c>
      <c r="V131" s="526"/>
      <c r="W131" s="515" t="str">
        <f t="shared" si="81"/>
        <v/>
      </c>
      <c r="X131" s="517"/>
      <c r="Y131" s="517"/>
    </row>
    <row r="132" spans="1:26" s="423" customFormat="1" ht="13.8" x14ac:dyDescent="0.3">
      <c r="A132" s="399"/>
      <c r="B132" s="562" t="s">
        <v>96</v>
      </c>
      <c r="C132" s="366"/>
      <c r="D132" s="367"/>
      <c r="E132" s="367"/>
      <c r="F132" s="367"/>
      <c r="G132" s="367"/>
      <c r="H132" s="367"/>
      <c r="I132" s="369"/>
      <c r="J132" s="367"/>
      <c r="K132" s="363"/>
      <c r="L132" s="370"/>
      <c r="M132" s="490"/>
      <c r="N132" s="489" t="str">
        <f t="shared" si="71"/>
        <v/>
      </c>
      <c r="O132" s="308"/>
      <c r="P132" s="422"/>
      <c r="Q132" s="497"/>
      <c r="R132" s="481"/>
      <c r="S132" s="526"/>
      <c r="T132" s="515" t="str">
        <f t="shared" si="79"/>
        <v/>
      </c>
      <c r="U132" s="482" t="str">
        <f t="shared" si="80"/>
        <v/>
      </c>
      <c r="V132" s="526"/>
      <c r="W132" s="515" t="str">
        <f t="shared" si="81"/>
        <v/>
      </c>
      <c r="X132" s="517"/>
      <c r="Y132" s="517"/>
    </row>
    <row r="133" spans="1:26" s="423" customFormat="1" x14ac:dyDescent="0.3">
      <c r="A133" s="399"/>
      <c r="B133" s="571" t="s">
        <v>97</v>
      </c>
      <c r="C133" s="366"/>
      <c r="D133" s="367">
        <f>179+5</f>
        <v>184</v>
      </c>
      <c r="E133" s="367"/>
      <c r="F133" s="362"/>
      <c r="G133" s="362"/>
      <c r="H133" s="362">
        <f>+PRODUCT(C133:G133)</f>
        <v>184</v>
      </c>
      <c r="I133" s="369" t="s">
        <v>19</v>
      </c>
      <c r="J133" s="362">
        <f>+PRODUCT(C133:G133)</f>
        <v>184</v>
      </c>
      <c r="K133" s="363">
        <v>21</v>
      </c>
      <c r="L133" s="370">
        <f t="shared" ref="L133" si="124">J133*K133</f>
        <v>3864</v>
      </c>
      <c r="M133" s="490">
        <f t="shared" ref="M133" si="125">K133*(100%-16.5%)</f>
        <v>17.535</v>
      </c>
      <c r="N133" s="489">
        <f t="shared" si="71"/>
        <v>3226.44</v>
      </c>
      <c r="O133" s="308" t="s">
        <v>204</v>
      </c>
      <c r="P133" s="422"/>
      <c r="Q133" s="497" t="s">
        <v>204</v>
      </c>
      <c r="R133" s="481">
        <f t="shared" si="78"/>
        <v>184</v>
      </c>
      <c r="S133" s="526">
        <f>S130</f>
        <v>8.6300000000000008</v>
      </c>
      <c r="T133" s="515">
        <f t="shared" si="79"/>
        <v>1587.92</v>
      </c>
      <c r="U133" s="482">
        <f t="shared" si="80"/>
        <v>184</v>
      </c>
      <c r="V133" s="526">
        <f>V130</f>
        <v>5.5</v>
      </c>
      <c r="W133" s="515">
        <f t="shared" ref="W133:W134" si="126">IF(V133&gt;0,V133*U133,"")</f>
        <v>1012</v>
      </c>
      <c r="X133" s="507">
        <f t="shared" ref="X133:X134" si="127">V133+S133</f>
        <v>14.13</v>
      </c>
      <c r="Y133" s="520">
        <f t="shared" ref="Y133:Y134" si="128">M133-X133</f>
        <v>3.4049999999999994</v>
      </c>
      <c r="Z133" s="521">
        <f t="shared" ref="Z133:Z134" si="129">Y133/M133</f>
        <v>0.19418306244653546</v>
      </c>
    </row>
    <row r="134" spans="1:26" s="423" customFormat="1" x14ac:dyDescent="0.3">
      <c r="A134" s="399"/>
      <c r="B134" s="571" t="s">
        <v>98</v>
      </c>
      <c r="C134" s="366">
        <v>2</v>
      </c>
      <c r="D134" s="367"/>
      <c r="E134" s="367"/>
      <c r="F134" s="362"/>
      <c r="G134" s="362"/>
      <c r="H134" s="362">
        <f>+PRODUCT(C134:G134)</f>
        <v>2</v>
      </c>
      <c r="I134" s="369" t="s">
        <v>18</v>
      </c>
      <c r="J134" s="362">
        <f>+PRODUCT(C134:G134)</f>
        <v>2</v>
      </c>
      <c r="K134" s="363" t="s">
        <v>205</v>
      </c>
      <c r="L134" s="370"/>
      <c r="M134" s="490"/>
      <c r="N134" s="489"/>
      <c r="O134" s="308"/>
      <c r="P134" s="422"/>
      <c r="Q134" s="497"/>
      <c r="R134" s="481" t="str">
        <f t="shared" si="78"/>
        <v/>
      </c>
      <c r="S134" s="526"/>
      <c r="T134" s="515" t="str">
        <f t="shared" si="79"/>
        <v/>
      </c>
      <c r="U134" s="482" t="str">
        <f t="shared" si="80"/>
        <v/>
      </c>
      <c r="V134" s="526"/>
      <c r="W134" s="515" t="str">
        <f t="shared" si="126"/>
        <v/>
      </c>
      <c r="X134" s="507"/>
      <c r="Y134" s="520"/>
      <c r="Z134" s="521"/>
    </row>
    <row r="135" spans="1:26" s="423" customFormat="1" x14ac:dyDescent="0.3">
      <c r="A135" s="399"/>
      <c r="B135" s="571"/>
      <c r="C135" s="366"/>
      <c r="D135" s="367"/>
      <c r="E135" s="367"/>
      <c r="F135" s="362"/>
      <c r="G135" s="362"/>
      <c r="H135" s="362"/>
      <c r="I135" s="369"/>
      <c r="J135" s="362"/>
      <c r="K135" s="363"/>
      <c r="L135" s="370"/>
      <c r="M135" s="490"/>
      <c r="N135" s="489" t="str">
        <f t="shared" si="71"/>
        <v/>
      </c>
      <c r="O135" s="308"/>
      <c r="P135" s="422"/>
      <c r="Q135" s="497"/>
      <c r="R135" s="481"/>
      <c r="S135" s="526"/>
      <c r="T135" s="515" t="str">
        <f t="shared" si="79"/>
        <v/>
      </c>
      <c r="U135" s="482" t="str">
        <f t="shared" si="80"/>
        <v/>
      </c>
      <c r="V135" s="526"/>
      <c r="W135" s="515" t="str">
        <f t="shared" si="81"/>
        <v/>
      </c>
      <c r="X135" s="517"/>
      <c r="Y135" s="517"/>
    </row>
    <row r="136" spans="1:26" s="423" customFormat="1" ht="13.8" x14ac:dyDescent="0.3">
      <c r="A136" s="399"/>
      <c r="B136" s="562" t="s">
        <v>99</v>
      </c>
      <c r="C136" s="366"/>
      <c r="D136" s="367"/>
      <c r="E136" s="367"/>
      <c r="F136" s="367"/>
      <c r="G136" s="367"/>
      <c r="H136" s="367"/>
      <c r="I136" s="369"/>
      <c r="J136" s="367"/>
      <c r="K136" s="363"/>
      <c r="L136" s="370"/>
      <c r="M136" s="490"/>
      <c r="N136" s="489" t="str">
        <f t="shared" si="71"/>
        <v/>
      </c>
      <c r="O136" s="308"/>
      <c r="P136" s="422"/>
      <c r="Q136" s="497"/>
      <c r="R136" s="481"/>
      <c r="S136" s="526"/>
      <c r="T136" s="515" t="str">
        <f t="shared" si="79"/>
        <v/>
      </c>
      <c r="U136" s="482" t="str">
        <f t="shared" si="80"/>
        <v/>
      </c>
      <c r="V136" s="526"/>
      <c r="W136" s="515" t="str">
        <f t="shared" si="81"/>
        <v/>
      </c>
      <c r="X136" s="517"/>
      <c r="Y136" s="517"/>
    </row>
    <row r="137" spans="1:26" s="423" customFormat="1" x14ac:dyDescent="0.3">
      <c r="A137" s="399"/>
      <c r="B137" s="571" t="s">
        <v>100</v>
      </c>
      <c r="C137" s="366"/>
      <c r="D137" s="367">
        <v>410</v>
      </c>
      <c r="E137" s="367"/>
      <c r="F137" s="362"/>
      <c r="G137" s="362"/>
      <c r="H137" s="362">
        <f>+PRODUCT(C137:G137)</f>
        <v>410</v>
      </c>
      <c r="I137" s="369" t="s">
        <v>19</v>
      </c>
      <c r="J137" s="362">
        <f>+PRODUCT(C137:G137)</f>
        <v>410</v>
      </c>
      <c r="K137" s="363">
        <v>21</v>
      </c>
      <c r="L137" s="370">
        <f t="shared" ref="L137" si="130">J137*K137</f>
        <v>8610</v>
      </c>
      <c r="M137" s="490">
        <f t="shared" ref="M137" si="131">K137*(100%-16.5%)</f>
        <v>17.535</v>
      </c>
      <c r="N137" s="489">
        <f t="shared" si="71"/>
        <v>7189.35</v>
      </c>
      <c r="O137" s="308" t="s">
        <v>204</v>
      </c>
      <c r="P137" s="422"/>
      <c r="Q137" s="497" t="s">
        <v>204</v>
      </c>
      <c r="R137" s="481">
        <f t="shared" si="78"/>
        <v>410</v>
      </c>
      <c r="S137" s="526">
        <f>S133</f>
        <v>8.6300000000000008</v>
      </c>
      <c r="T137" s="515">
        <f t="shared" si="79"/>
        <v>3538.3</v>
      </c>
      <c r="U137" s="482">
        <f t="shared" si="80"/>
        <v>410</v>
      </c>
      <c r="V137" s="526">
        <f>V133</f>
        <v>5.5</v>
      </c>
      <c r="W137" s="515">
        <f t="shared" ref="W137:W139" si="132">IF(V137&gt;0,V137*U137,"")</f>
        <v>2255</v>
      </c>
      <c r="X137" s="507">
        <f t="shared" ref="X137:X139" si="133">V137+S137</f>
        <v>14.13</v>
      </c>
      <c r="Y137" s="520">
        <f>M137-X137</f>
        <v>3.4049999999999994</v>
      </c>
      <c r="Z137" s="521">
        <f t="shared" ref="Z137:Z139" si="134">Y137/M137</f>
        <v>0.19418306244653546</v>
      </c>
    </row>
    <row r="138" spans="1:26" s="423" customFormat="1" x14ac:dyDescent="0.3">
      <c r="A138" s="399"/>
      <c r="B138" s="571" t="s">
        <v>101</v>
      </c>
      <c r="C138" s="366">
        <v>9</v>
      </c>
      <c r="D138" s="367"/>
      <c r="E138" s="367"/>
      <c r="F138" s="362"/>
      <c r="G138" s="362"/>
      <c r="H138" s="362">
        <f>+PRODUCT(C138:G138)</f>
        <v>9</v>
      </c>
      <c r="I138" s="369" t="s">
        <v>18</v>
      </c>
      <c r="J138" s="362">
        <f>+PRODUCT(C138:G138)</f>
        <v>9</v>
      </c>
      <c r="K138" s="428" t="s">
        <v>205</v>
      </c>
      <c r="L138" s="370">
        <v>0</v>
      </c>
      <c r="M138" s="490"/>
      <c r="N138" s="489"/>
      <c r="O138" s="370"/>
      <c r="P138" s="422"/>
      <c r="Q138" s="504"/>
      <c r="R138" s="481" t="str">
        <f t="shared" si="78"/>
        <v/>
      </c>
      <c r="S138" s="514"/>
      <c r="T138" s="515" t="str">
        <f t="shared" si="79"/>
        <v/>
      </c>
      <c r="U138" s="482" t="str">
        <f t="shared" si="80"/>
        <v/>
      </c>
      <c r="V138" s="514"/>
      <c r="W138" s="515" t="str">
        <f t="shared" si="132"/>
        <v/>
      </c>
      <c r="X138" s="507"/>
      <c r="Y138" s="520"/>
      <c r="Z138" s="521"/>
    </row>
    <row r="139" spans="1:26" s="423" customFormat="1" x14ac:dyDescent="0.3">
      <c r="A139" s="399"/>
      <c r="B139" s="571" t="s">
        <v>98</v>
      </c>
      <c r="C139" s="366">
        <v>1</v>
      </c>
      <c r="D139" s="367"/>
      <c r="E139" s="367"/>
      <c r="F139" s="362"/>
      <c r="G139" s="362"/>
      <c r="H139" s="362">
        <f>+PRODUCT(C139:G139)</f>
        <v>1</v>
      </c>
      <c r="I139" s="369" t="s">
        <v>18</v>
      </c>
      <c r="J139" s="362">
        <f>+PRODUCT(C139:G139)</f>
        <v>1</v>
      </c>
      <c r="K139" s="428" t="s">
        <v>205</v>
      </c>
      <c r="L139" s="370">
        <v>0</v>
      </c>
      <c r="M139" s="490"/>
      <c r="N139" s="489"/>
      <c r="O139" s="308"/>
      <c r="P139" s="422"/>
      <c r="Q139" s="497"/>
      <c r="R139" s="481" t="str">
        <f t="shared" si="78"/>
        <v/>
      </c>
      <c r="S139" s="514"/>
      <c r="T139" s="515" t="str">
        <f t="shared" si="79"/>
        <v/>
      </c>
      <c r="U139" s="482" t="str">
        <f t="shared" si="80"/>
        <v/>
      </c>
      <c r="V139" s="514"/>
      <c r="W139" s="515" t="str">
        <f t="shared" si="132"/>
        <v/>
      </c>
      <c r="X139" s="507"/>
      <c r="Y139" s="520"/>
      <c r="Z139" s="521"/>
    </row>
    <row r="140" spans="1:26" s="423" customFormat="1" x14ac:dyDescent="0.3">
      <c r="A140" s="399"/>
      <c r="B140" s="571"/>
      <c r="C140" s="366"/>
      <c r="D140" s="367"/>
      <c r="E140" s="367"/>
      <c r="F140" s="362"/>
      <c r="G140" s="362"/>
      <c r="H140" s="362"/>
      <c r="I140" s="369"/>
      <c r="J140" s="362"/>
      <c r="K140" s="363"/>
      <c r="L140" s="370"/>
      <c r="M140" s="490"/>
      <c r="N140" s="489" t="str">
        <f t="shared" si="71"/>
        <v/>
      </c>
      <c r="O140" s="308"/>
      <c r="P140" s="422"/>
      <c r="Q140" s="497"/>
      <c r="R140" s="481"/>
      <c r="S140" s="514"/>
      <c r="T140" s="515" t="str">
        <f t="shared" si="79"/>
        <v/>
      </c>
      <c r="U140" s="482" t="str">
        <f t="shared" si="80"/>
        <v/>
      </c>
      <c r="V140" s="514"/>
      <c r="W140" s="515" t="str">
        <f t="shared" si="81"/>
        <v/>
      </c>
      <c r="X140" s="517"/>
      <c r="Y140" s="517"/>
    </row>
    <row r="141" spans="1:26" ht="27.6" x14ac:dyDescent="0.3">
      <c r="A141" s="399"/>
      <c r="B141" s="562" t="s">
        <v>102</v>
      </c>
      <c r="C141" s="366"/>
      <c r="D141" s="367"/>
      <c r="E141" s="367"/>
      <c r="F141" s="367"/>
      <c r="G141" s="367"/>
      <c r="H141" s="367"/>
      <c r="I141" s="369"/>
      <c r="J141" s="367"/>
      <c r="K141" s="363"/>
      <c r="L141" s="370"/>
      <c r="M141" s="490"/>
      <c r="N141" s="489" t="str">
        <f t="shared" si="71"/>
        <v/>
      </c>
      <c r="O141" s="308"/>
      <c r="Q141" s="497"/>
      <c r="R141" s="481"/>
      <c r="S141" s="514"/>
      <c r="T141" s="515" t="str">
        <f t="shared" si="79"/>
        <v/>
      </c>
      <c r="U141" s="482" t="str">
        <f t="shared" si="80"/>
        <v/>
      </c>
      <c r="V141" s="514"/>
      <c r="W141" s="515" t="str">
        <f t="shared" si="81"/>
        <v/>
      </c>
    </row>
    <row r="142" spans="1:26" x14ac:dyDescent="0.3">
      <c r="A142" s="399"/>
      <c r="B142" s="571" t="s">
        <v>103</v>
      </c>
      <c r="C142" s="366"/>
      <c r="D142" s="367">
        <f>D130</f>
        <v>554</v>
      </c>
      <c r="E142" s="367">
        <v>0.6</v>
      </c>
      <c r="F142" s="362"/>
      <c r="G142" s="362">
        <v>0.8</v>
      </c>
      <c r="H142" s="362">
        <f>D142*E142*G142</f>
        <v>265.92</v>
      </c>
      <c r="I142" s="369"/>
      <c r="J142" s="362"/>
      <c r="K142" s="363"/>
      <c r="L142" s="370"/>
      <c r="M142" s="490"/>
      <c r="N142" s="489" t="str">
        <f t="shared" si="71"/>
        <v/>
      </c>
      <c r="O142" s="308"/>
      <c r="Q142" s="497"/>
      <c r="R142" s="481"/>
      <c r="S142" s="514"/>
      <c r="T142" s="515" t="str">
        <f t="shared" si="79"/>
        <v/>
      </c>
      <c r="U142" s="482" t="str">
        <f t="shared" si="80"/>
        <v/>
      </c>
      <c r="V142" s="514"/>
      <c r="W142" s="515" t="str">
        <f t="shared" si="81"/>
        <v/>
      </c>
    </row>
    <row r="143" spans="1:26" x14ac:dyDescent="0.3">
      <c r="A143" s="399"/>
      <c r="B143" s="558" t="s">
        <v>86</v>
      </c>
      <c r="C143" s="366"/>
      <c r="D143" s="367"/>
      <c r="E143" s="367"/>
      <c r="F143" s="367"/>
      <c r="G143" s="427" t="s">
        <v>87</v>
      </c>
      <c r="H143" s="427">
        <f>SUM(H142:H142)</f>
        <v>265.92</v>
      </c>
      <c r="I143" s="369" t="s">
        <v>22</v>
      </c>
      <c r="J143" s="403">
        <f>H143</f>
        <v>265.92</v>
      </c>
      <c r="K143" s="363" t="s">
        <v>206</v>
      </c>
      <c r="L143" s="370"/>
      <c r="M143" s="490"/>
      <c r="N143" s="489"/>
      <c r="O143" s="308"/>
      <c r="Q143" s="497"/>
      <c r="R143" s="481" t="str">
        <f t="shared" si="78"/>
        <v/>
      </c>
      <c r="S143" s="514"/>
      <c r="T143" s="515" t="str">
        <f t="shared" si="79"/>
        <v/>
      </c>
      <c r="U143" s="482" t="str">
        <f t="shared" si="80"/>
        <v/>
      </c>
      <c r="V143" s="514"/>
      <c r="W143" s="515" t="str">
        <f t="shared" ref="W143" si="135">IF(V143&gt;0,V143*U143,"")</f>
        <v/>
      </c>
      <c r="Y143" s="520"/>
      <c r="Z143" s="521"/>
    </row>
    <row r="144" spans="1:26" x14ac:dyDescent="0.3">
      <c r="A144" s="399"/>
      <c r="B144" s="558"/>
      <c r="C144" s="366"/>
      <c r="D144" s="367"/>
      <c r="E144" s="367"/>
      <c r="F144" s="367"/>
      <c r="G144" s="427"/>
      <c r="H144" s="427"/>
      <c r="I144" s="369"/>
      <c r="J144" s="403"/>
      <c r="K144" s="363"/>
      <c r="L144" s="370"/>
      <c r="M144" s="490"/>
      <c r="N144" s="489" t="str">
        <f t="shared" si="71"/>
        <v/>
      </c>
      <c r="O144" s="308"/>
      <c r="Q144" s="497"/>
      <c r="R144" s="481"/>
      <c r="S144" s="514"/>
      <c r="T144" s="515" t="str">
        <f t="shared" si="79"/>
        <v/>
      </c>
      <c r="U144" s="482" t="str">
        <f t="shared" si="80"/>
        <v/>
      </c>
      <c r="V144" s="514"/>
      <c r="W144" s="515" t="str">
        <f t="shared" si="81"/>
        <v/>
      </c>
    </row>
    <row r="145" spans="1:790" s="291" customFormat="1" x14ac:dyDescent="0.3">
      <c r="A145" s="399"/>
      <c r="B145" s="562" t="s">
        <v>104</v>
      </c>
      <c r="C145" s="366"/>
      <c r="D145" s="367"/>
      <c r="E145" s="367"/>
      <c r="F145" s="367"/>
      <c r="G145" s="427"/>
      <c r="H145" s="427"/>
      <c r="I145" s="369"/>
      <c r="J145" s="403"/>
      <c r="K145" s="363"/>
      <c r="L145" s="370"/>
      <c r="M145" s="490"/>
      <c r="N145" s="489" t="str">
        <f t="shared" si="71"/>
        <v/>
      </c>
      <c r="O145" s="308"/>
      <c r="Q145" s="497"/>
      <c r="R145" s="481"/>
      <c r="S145" s="514"/>
      <c r="T145" s="515" t="str">
        <f t="shared" si="79"/>
        <v/>
      </c>
      <c r="U145" s="482" t="str">
        <f t="shared" si="80"/>
        <v/>
      </c>
      <c r="V145" s="514"/>
      <c r="W145" s="515" t="str">
        <f t="shared" si="81"/>
        <v/>
      </c>
      <c r="X145" s="507"/>
      <c r="Y145" s="507"/>
      <c r="Z145" s="478"/>
      <c r="AA145" s="471"/>
      <c r="AB145" s="471"/>
      <c r="AC145" s="471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6"/>
      <c r="KZ145" s="6"/>
      <c r="LA145" s="6"/>
      <c r="LB145" s="6"/>
      <c r="LC145" s="6"/>
      <c r="LD145" s="6"/>
      <c r="LE145" s="6"/>
      <c r="LF145" s="6"/>
      <c r="LG145" s="6"/>
      <c r="LH145" s="6"/>
      <c r="LI145" s="6"/>
      <c r="LJ145" s="6"/>
      <c r="LK145" s="6"/>
      <c r="LL145" s="6"/>
      <c r="LM145" s="6"/>
      <c r="LN145" s="6"/>
      <c r="LO145" s="6"/>
      <c r="LP145" s="6"/>
      <c r="LQ145" s="6"/>
      <c r="LR145" s="6"/>
      <c r="LS145" s="6"/>
      <c r="LT145" s="6"/>
      <c r="LU145" s="6"/>
      <c r="LV145" s="6"/>
      <c r="LW145" s="6"/>
      <c r="LX145" s="6"/>
      <c r="LY145" s="6"/>
      <c r="LZ145" s="6"/>
      <c r="MA145" s="6"/>
      <c r="MB145" s="6"/>
      <c r="MC145" s="6"/>
      <c r="MD145" s="6"/>
      <c r="ME145" s="6"/>
      <c r="MF145" s="6"/>
      <c r="MG145" s="6"/>
      <c r="MH145" s="6"/>
      <c r="MI145" s="6"/>
      <c r="MJ145" s="6"/>
      <c r="MK145" s="6"/>
      <c r="ML145" s="6"/>
      <c r="MM145" s="6"/>
      <c r="MN145" s="6"/>
      <c r="MO145" s="6"/>
      <c r="MP145" s="6"/>
      <c r="MQ145" s="6"/>
      <c r="MR145" s="6"/>
      <c r="MS145" s="6"/>
      <c r="MT145" s="6"/>
      <c r="MU145" s="6"/>
      <c r="MV145" s="6"/>
      <c r="MW145" s="6"/>
      <c r="MX145" s="6"/>
      <c r="MY145" s="6"/>
      <c r="MZ145" s="6"/>
      <c r="NA145" s="6"/>
      <c r="NB145" s="6"/>
      <c r="NC145" s="6"/>
      <c r="ND145" s="6"/>
      <c r="NE145" s="6"/>
      <c r="NF145" s="6"/>
      <c r="NG145" s="6"/>
      <c r="NH145" s="6"/>
      <c r="NI145" s="6"/>
      <c r="NJ145" s="6"/>
      <c r="NK145" s="6"/>
      <c r="NL145" s="6"/>
      <c r="NM145" s="6"/>
      <c r="NN145" s="6"/>
      <c r="NO145" s="6"/>
      <c r="NP145" s="6"/>
      <c r="NQ145" s="6"/>
      <c r="NR145" s="6"/>
      <c r="NS145" s="6"/>
      <c r="NT145" s="6"/>
      <c r="NU145" s="6"/>
      <c r="NV145" s="6"/>
      <c r="NW145" s="6"/>
      <c r="NX145" s="6"/>
      <c r="NY145" s="6"/>
      <c r="NZ145" s="6"/>
      <c r="OA145" s="6"/>
      <c r="OB145" s="6"/>
      <c r="OC145" s="6"/>
      <c r="OD145" s="6"/>
      <c r="OE145" s="6"/>
      <c r="OF145" s="6"/>
      <c r="OG145" s="6"/>
      <c r="OH145" s="6"/>
      <c r="OI145" s="6"/>
      <c r="OJ145" s="6"/>
      <c r="OK145" s="6"/>
      <c r="OL145" s="6"/>
      <c r="OM145" s="6"/>
      <c r="ON145" s="6"/>
      <c r="OO145" s="6"/>
      <c r="OP145" s="6"/>
      <c r="OQ145" s="6"/>
      <c r="OR145" s="6"/>
      <c r="OS145" s="6"/>
      <c r="OT145" s="6"/>
      <c r="OU145" s="6"/>
      <c r="OV145" s="6"/>
      <c r="OW145" s="6"/>
      <c r="OX145" s="6"/>
      <c r="OY145" s="6"/>
      <c r="OZ145" s="6"/>
      <c r="PA145" s="6"/>
      <c r="PB145" s="6"/>
      <c r="PC145" s="6"/>
      <c r="PD145" s="6"/>
      <c r="PE145" s="6"/>
      <c r="PF145" s="6"/>
      <c r="PG145" s="6"/>
      <c r="PH145" s="6"/>
      <c r="PI145" s="6"/>
      <c r="PJ145" s="6"/>
      <c r="PK145" s="6"/>
      <c r="PL145" s="6"/>
      <c r="PM145" s="6"/>
      <c r="PN145" s="6"/>
      <c r="PO145" s="6"/>
      <c r="PP145" s="6"/>
      <c r="PQ145" s="6"/>
      <c r="PR145" s="6"/>
      <c r="PS145" s="6"/>
      <c r="PT145" s="6"/>
      <c r="PU145" s="6"/>
      <c r="PV145" s="6"/>
      <c r="PW145" s="6"/>
      <c r="PX145" s="6"/>
      <c r="PY145" s="6"/>
      <c r="PZ145" s="6"/>
      <c r="QA145" s="6"/>
      <c r="QB145" s="6"/>
      <c r="QC145" s="6"/>
      <c r="QD145" s="6"/>
      <c r="QE145" s="6"/>
      <c r="QF145" s="6"/>
      <c r="QG145" s="6"/>
      <c r="QH145" s="6"/>
      <c r="QI145" s="6"/>
      <c r="QJ145" s="6"/>
      <c r="QK145" s="6"/>
      <c r="QL145" s="6"/>
      <c r="QM145" s="6"/>
      <c r="QN145" s="6"/>
      <c r="QO145" s="6"/>
      <c r="QP145" s="6"/>
      <c r="QQ145" s="6"/>
      <c r="QR145" s="6"/>
      <c r="QS145" s="6"/>
      <c r="QT145" s="6"/>
      <c r="QU145" s="6"/>
      <c r="QV145" s="6"/>
      <c r="QW145" s="6"/>
      <c r="QX145" s="6"/>
      <c r="QY145" s="6"/>
      <c r="QZ145" s="6"/>
      <c r="RA145" s="6"/>
      <c r="RB145" s="6"/>
      <c r="RC145" s="6"/>
      <c r="RD145" s="6"/>
      <c r="RE145" s="6"/>
      <c r="RF145" s="6"/>
      <c r="RG145" s="6"/>
      <c r="RH145" s="6"/>
      <c r="RI145" s="6"/>
      <c r="RJ145" s="6"/>
      <c r="RK145" s="6"/>
      <c r="RL145" s="6"/>
      <c r="RM145" s="6"/>
      <c r="RN145" s="6"/>
      <c r="RO145" s="6"/>
      <c r="RP145" s="6"/>
      <c r="RQ145" s="6"/>
      <c r="RR145" s="6"/>
      <c r="RS145" s="6"/>
      <c r="RT145" s="6"/>
      <c r="RU145" s="6"/>
      <c r="RV145" s="6"/>
      <c r="RW145" s="6"/>
      <c r="RX145" s="6"/>
      <c r="RY145" s="6"/>
      <c r="RZ145" s="6"/>
      <c r="SA145" s="6"/>
      <c r="SB145" s="6"/>
      <c r="SC145" s="6"/>
      <c r="SD145" s="6"/>
      <c r="SE145" s="6"/>
      <c r="SF145" s="6"/>
      <c r="SG145" s="6"/>
      <c r="SH145" s="6"/>
      <c r="SI145" s="6"/>
      <c r="SJ145" s="6"/>
      <c r="SK145" s="6"/>
      <c r="SL145" s="6"/>
      <c r="SM145" s="6"/>
      <c r="SN145" s="6"/>
      <c r="SO145" s="6"/>
      <c r="SP145" s="6"/>
      <c r="SQ145" s="6"/>
      <c r="SR145" s="6"/>
      <c r="SS145" s="6"/>
      <c r="ST145" s="6"/>
      <c r="SU145" s="6"/>
      <c r="SV145" s="6"/>
      <c r="SW145" s="6"/>
      <c r="SX145" s="6"/>
      <c r="SY145" s="6"/>
      <c r="SZ145" s="6"/>
      <c r="TA145" s="6"/>
      <c r="TB145" s="6"/>
      <c r="TC145" s="6"/>
      <c r="TD145" s="6"/>
      <c r="TE145" s="6"/>
      <c r="TF145" s="6"/>
      <c r="TG145" s="6"/>
      <c r="TH145" s="6"/>
      <c r="TI145" s="6"/>
      <c r="TJ145" s="6"/>
      <c r="TK145" s="6"/>
      <c r="TL145" s="6"/>
      <c r="TM145" s="6"/>
      <c r="TN145" s="6"/>
      <c r="TO145" s="6"/>
      <c r="TP145" s="6"/>
      <c r="TQ145" s="6"/>
      <c r="TR145" s="6"/>
      <c r="TS145" s="6"/>
      <c r="TT145" s="6"/>
      <c r="TU145" s="6"/>
      <c r="TV145" s="6"/>
      <c r="TW145" s="6"/>
      <c r="TX145" s="6"/>
      <c r="TY145" s="6"/>
      <c r="TZ145" s="6"/>
      <c r="UA145" s="6"/>
      <c r="UB145" s="6"/>
      <c r="UC145" s="6"/>
      <c r="UD145" s="6"/>
      <c r="UE145" s="6"/>
      <c r="UF145" s="6"/>
      <c r="UG145" s="6"/>
      <c r="UH145" s="6"/>
      <c r="UI145" s="6"/>
      <c r="UJ145" s="6"/>
      <c r="UK145" s="6"/>
      <c r="UL145" s="6"/>
      <c r="UM145" s="6"/>
      <c r="UN145" s="6"/>
      <c r="UO145" s="6"/>
      <c r="UP145" s="6"/>
      <c r="UQ145" s="6"/>
      <c r="UR145" s="6"/>
      <c r="US145" s="6"/>
      <c r="UT145" s="6"/>
      <c r="UU145" s="6"/>
      <c r="UV145" s="6"/>
      <c r="UW145" s="6"/>
      <c r="UX145" s="6"/>
      <c r="UY145" s="6"/>
      <c r="UZ145" s="6"/>
      <c r="VA145" s="6"/>
      <c r="VB145" s="6"/>
      <c r="VC145" s="6"/>
      <c r="VD145" s="6"/>
      <c r="VE145" s="6"/>
      <c r="VF145" s="6"/>
      <c r="VG145" s="6"/>
      <c r="VH145" s="6"/>
      <c r="VI145" s="6"/>
      <c r="VJ145" s="6"/>
      <c r="VK145" s="6"/>
      <c r="VL145" s="6"/>
      <c r="VM145" s="6"/>
      <c r="VN145" s="6"/>
      <c r="VO145" s="6"/>
      <c r="VP145" s="6"/>
      <c r="VQ145" s="6"/>
      <c r="VR145" s="6"/>
      <c r="VS145" s="6"/>
      <c r="VT145" s="6"/>
      <c r="VU145" s="6"/>
      <c r="VV145" s="6"/>
      <c r="VW145" s="6"/>
      <c r="VX145" s="6"/>
      <c r="VY145" s="6"/>
      <c r="VZ145" s="6"/>
      <c r="WA145" s="6"/>
      <c r="WB145" s="6"/>
      <c r="WC145" s="6"/>
      <c r="WD145" s="6"/>
      <c r="WE145" s="6"/>
      <c r="WF145" s="6"/>
      <c r="WG145" s="6"/>
      <c r="WH145" s="6"/>
      <c r="WI145" s="6"/>
      <c r="WJ145" s="6"/>
      <c r="WK145" s="6"/>
      <c r="WL145" s="6"/>
      <c r="WM145" s="6"/>
      <c r="WN145" s="6"/>
      <c r="WO145" s="6"/>
      <c r="WP145" s="6"/>
      <c r="WQ145" s="6"/>
      <c r="WR145" s="6"/>
      <c r="WS145" s="6"/>
      <c r="WT145" s="6"/>
      <c r="WU145" s="6"/>
      <c r="WV145" s="6"/>
      <c r="WW145" s="6"/>
      <c r="WX145" s="6"/>
      <c r="WY145" s="6"/>
      <c r="WZ145" s="6"/>
      <c r="XA145" s="6"/>
      <c r="XB145" s="6"/>
      <c r="XC145" s="6"/>
      <c r="XD145" s="6"/>
      <c r="XE145" s="6"/>
      <c r="XF145" s="6"/>
      <c r="XG145" s="6"/>
      <c r="XH145" s="6"/>
      <c r="XI145" s="6"/>
      <c r="XJ145" s="6"/>
      <c r="XK145" s="6"/>
      <c r="XL145" s="6"/>
      <c r="XM145" s="6"/>
      <c r="XN145" s="6"/>
      <c r="XO145" s="6"/>
      <c r="XP145" s="6"/>
      <c r="XQ145" s="6"/>
      <c r="XR145" s="6"/>
      <c r="XS145" s="6"/>
      <c r="XT145" s="6"/>
      <c r="XU145" s="6"/>
      <c r="XV145" s="6"/>
      <c r="XW145" s="6"/>
      <c r="XX145" s="6"/>
      <c r="XY145" s="6"/>
      <c r="XZ145" s="6"/>
      <c r="YA145" s="6"/>
      <c r="YB145" s="6"/>
      <c r="YC145" s="6"/>
      <c r="YD145" s="6"/>
      <c r="YE145" s="6"/>
      <c r="YF145" s="6"/>
      <c r="YG145" s="6"/>
      <c r="YH145" s="6"/>
      <c r="YI145" s="6"/>
      <c r="YJ145" s="6"/>
      <c r="YK145" s="6"/>
      <c r="YL145" s="6"/>
      <c r="YM145" s="6"/>
      <c r="YN145" s="6"/>
      <c r="YO145" s="6"/>
      <c r="YP145" s="6"/>
      <c r="YQ145" s="6"/>
      <c r="YR145" s="6"/>
      <c r="YS145" s="6"/>
      <c r="YT145" s="6"/>
      <c r="YU145" s="6"/>
      <c r="YV145" s="6"/>
      <c r="YW145" s="6"/>
      <c r="YX145" s="6"/>
      <c r="YY145" s="6"/>
      <c r="YZ145" s="6"/>
      <c r="ZA145" s="6"/>
      <c r="ZB145" s="6"/>
      <c r="ZC145" s="6"/>
      <c r="ZD145" s="6"/>
      <c r="ZE145" s="6"/>
      <c r="ZF145" s="6"/>
      <c r="ZG145" s="6"/>
      <c r="ZH145" s="6"/>
      <c r="ZI145" s="6"/>
      <c r="ZJ145" s="6"/>
      <c r="ZK145" s="6"/>
      <c r="ZL145" s="6"/>
      <c r="ZM145" s="6"/>
      <c r="ZN145" s="6"/>
      <c r="ZO145" s="6"/>
      <c r="ZP145" s="6"/>
      <c r="ZQ145" s="6"/>
      <c r="ZR145" s="6"/>
      <c r="ZS145" s="6"/>
      <c r="ZT145" s="6"/>
      <c r="ZU145" s="6"/>
      <c r="ZV145" s="6"/>
      <c r="ZW145" s="6"/>
      <c r="ZX145" s="6"/>
      <c r="ZY145" s="6"/>
      <c r="ZZ145" s="6"/>
      <c r="AAA145" s="6"/>
      <c r="AAB145" s="6"/>
      <c r="AAC145" s="6"/>
      <c r="AAD145" s="6"/>
      <c r="AAE145" s="6"/>
      <c r="AAF145" s="6"/>
      <c r="AAG145" s="6"/>
      <c r="AAH145" s="6"/>
      <c r="AAI145" s="6"/>
      <c r="AAJ145" s="6"/>
      <c r="AAK145" s="6"/>
      <c r="AAL145" s="6"/>
      <c r="AAM145" s="6"/>
      <c r="AAN145" s="6"/>
      <c r="AAO145" s="6"/>
      <c r="AAP145" s="6"/>
      <c r="AAQ145" s="6"/>
      <c r="AAR145" s="6"/>
      <c r="AAS145" s="6"/>
      <c r="AAT145" s="6"/>
      <c r="AAU145" s="6"/>
      <c r="AAV145" s="6"/>
      <c r="AAW145" s="6"/>
      <c r="AAX145" s="6"/>
      <c r="AAY145" s="6"/>
      <c r="AAZ145" s="6"/>
      <c r="ABA145" s="6"/>
      <c r="ABB145" s="6"/>
      <c r="ABC145" s="6"/>
      <c r="ABD145" s="6"/>
      <c r="ABE145" s="6"/>
      <c r="ABF145" s="6"/>
      <c r="ABG145" s="6"/>
      <c r="ABH145" s="6"/>
      <c r="ABI145" s="6"/>
      <c r="ABJ145" s="6"/>
      <c r="ABK145" s="6"/>
      <c r="ABL145" s="6"/>
      <c r="ABM145" s="6"/>
      <c r="ABN145" s="6"/>
      <c r="ABO145" s="6"/>
      <c r="ABP145" s="6"/>
      <c r="ABQ145" s="6"/>
      <c r="ABR145" s="6"/>
      <c r="ABS145" s="6"/>
      <c r="ABT145" s="6"/>
      <c r="ABU145" s="6"/>
      <c r="ABV145" s="6"/>
      <c r="ABW145" s="6"/>
      <c r="ABX145" s="6"/>
      <c r="ABY145" s="6"/>
      <c r="ABZ145" s="6"/>
      <c r="ACA145" s="6"/>
      <c r="ACB145" s="6"/>
      <c r="ACC145" s="6"/>
      <c r="ACD145" s="6"/>
      <c r="ACE145" s="6"/>
      <c r="ACF145" s="6"/>
      <c r="ACG145" s="6"/>
      <c r="ACH145" s="6"/>
      <c r="ACI145" s="6"/>
      <c r="ACJ145" s="6"/>
      <c r="ACK145" s="6"/>
      <c r="ACL145" s="6"/>
      <c r="ACM145" s="6"/>
      <c r="ACN145" s="6"/>
      <c r="ACO145" s="6"/>
      <c r="ACP145" s="6"/>
      <c r="ACQ145" s="6"/>
      <c r="ACR145" s="6"/>
      <c r="ACS145" s="6"/>
      <c r="ACT145" s="6"/>
      <c r="ACU145" s="6"/>
      <c r="ACV145" s="6"/>
      <c r="ACW145" s="6"/>
      <c r="ACX145" s="6"/>
      <c r="ACY145" s="6"/>
      <c r="ACZ145" s="6"/>
      <c r="ADA145" s="6"/>
      <c r="ADB145" s="6"/>
      <c r="ADC145" s="6"/>
      <c r="ADD145" s="6"/>
      <c r="ADE145" s="6"/>
      <c r="ADF145" s="6"/>
      <c r="ADG145" s="6"/>
      <c r="ADH145" s="6"/>
      <c r="ADI145" s="6"/>
      <c r="ADJ145" s="6"/>
    </row>
    <row r="146" spans="1:790" s="291" customFormat="1" x14ac:dyDescent="0.3">
      <c r="A146" s="399"/>
      <c r="B146" s="558"/>
      <c r="C146" s="366"/>
      <c r="D146" s="367"/>
      <c r="E146" s="367"/>
      <c r="F146" s="367"/>
      <c r="G146" s="427"/>
      <c r="H146" s="427"/>
      <c r="I146" s="369"/>
      <c r="J146" s="403"/>
      <c r="K146" s="363"/>
      <c r="L146" s="370"/>
      <c r="M146" s="490"/>
      <c r="N146" s="489" t="str">
        <f t="shared" si="71"/>
        <v/>
      </c>
      <c r="O146" s="308"/>
      <c r="Q146" s="497"/>
      <c r="R146" s="481"/>
      <c r="S146" s="514"/>
      <c r="T146" s="515" t="str">
        <f t="shared" si="79"/>
        <v/>
      </c>
      <c r="U146" s="482" t="str">
        <f t="shared" si="80"/>
        <v/>
      </c>
      <c r="V146" s="514"/>
      <c r="W146" s="515" t="str">
        <f t="shared" si="81"/>
        <v/>
      </c>
      <c r="X146" s="507"/>
      <c r="Y146" s="507"/>
      <c r="Z146" s="478"/>
      <c r="AA146" s="471"/>
      <c r="AB146" s="471"/>
      <c r="AC146" s="471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6"/>
      <c r="KZ146" s="6"/>
      <c r="LA146" s="6"/>
      <c r="LB146" s="6"/>
      <c r="LC146" s="6"/>
      <c r="LD146" s="6"/>
      <c r="LE146" s="6"/>
      <c r="LF146" s="6"/>
      <c r="LG146" s="6"/>
      <c r="LH146" s="6"/>
      <c r="LI146" s="6"/>
      <c r="LJ146" s="6"/>
      <c r="LK146" s="6"/>
      <c r="LL146" s="6"/>
      <c r="LM146" s="6"/>
      <c r="LN146" s="6"/>
      <c r="LO146" s="6"/>
      <c r="LP146" s="6"/>
      <c r="LQ146" s="6"/>
      <c r="LR146" s="6"/>
      <c r="LS146" s="6"/>
      <c r="LT146" s="6"/>
      <c r="LU146" s="6"/>
      <c r="LV146" s="6"/>
      <c r="LW146" s="6"/>
      <c r="LX146" s="6"/>
      <c r="LY146" s="6"/>
      <c r="LZ146" s="6"/>
      <c r="MA146" s="6"/>
      <c r="MB146" s="6"/>
      <c r="MC146" s="6"/>
      <c r="MD146" s="6"/>
      <c r="ME146" s="6"/>
      <c r="MF146" s="6"/>
      <c r="MG146" s="6"/>
      <c r="MH146" s="6"/>
      <c r="MI146" s="6"/>
      <c r="MJ146" s="6"/>
      <c r="MK146" s="6"/>
      <c r="ML146" s="6"/>
      <c r="MM146" s="6"/>
      <c r="MN146" s="6"/>
      <c r="MO146" s="6"/>
      <c r="MP146" s="6"/>
      <c r="MQ146" s="6"/>
      <c r="MR146" s="6"/>
      <c r="MS146" s="6"/>
      <c r="MT146" s="6"/>
      <c r="MU146" s="6"/>
      <c r="MV146" s="6"/>
      <c r="MW146" s="6"/>
      <c r="MX146" s="6"/>
      <c r="MY146" s="6"/>
      <c r="MZ146" s="6"/>
      <c r="NA146" s="6"/>
      <c r="NB146" s="6"/>
      <c r="NC146" s="6"/>
      <c r="ND146" s="6"/>
      <c r="NE146" s="6"/>
      <c r="NF146" s="6"/>
      <c r="NG146" s="6"/>
      <c r="NH146" s="6"/>
      <c r="NI146" s="6"/>
      <c r="NJ146" s="6"/>
      <c r="NK146" s="6"/>
      <c r="NL146" s="6"/>
      <c r="NM146" s="6"/>
      <c r="NN146" s="6"/>
      <c r="NO146" s="6"/>
      <c r="NP146" s="6"/>
      <c r="NQ146" s="6"/>
      <c r="NR146" s="6"/>
      <c r="NS146" s="6"/>
      <c r="NT146" s="6"/>
      <c r="NU146" s="6"/>
      <c r="NV146" s="6"/>
      <c r="NW146" s="6"/>
      <c r="NX146" s="6"/>
      <c r="NY146" s="6"/>
      <c r="NZ146" s="6"/>
      <c r="OA146" s="6"/>
      <c r="OB146" s="6"/>
      <c r="OC146" s="6"/>
      <c r="OD146" s="6"/>
      <c r="OE146" s="6"/>
      <c r="OF146" s="6"/>
      <c r="OG146" s="6"/>
      <c r="OH146" s="6"/>
      <c r="OI146" s="6"/>
      <c r="OJ146" s="6"/>
      <c r="OK146" s="6"/>
      <c r="OL146" s="6"/>
      <c r="OM146" s="6"/>
      <c r="ON146" s="6"/>
      <c r="OO146" s="6"/>
      <c r="OP146" s="6"/>
      <c r="OQ146" s="6"/>
      <c r="OR146" s="6"/>
      <c r="OS146" s="6"/>
      <c r="OT146" s="6"/>
      <c r="OU146" s="6"/>
      <c r="OV146" s="6"/>
      <c r="OW146" s="6"/>
      <c r="OX146" s="6"/>
      <c r="OY146" s="6"/>
      <c r="OZ146" s="6"/>
      <c r="PA146" s="6"/>
      <c r="PB146" s="6"/>
      <c r="PC146" s="6"/>
      <c r="PD146" s="6"/>
      <c r="PE146" s="6"/>
      <c r="PF146" s="6"/>
      <c r="PG146" s="6"/>
      <c r="PH146" s="6"/>
      <c r="PI146" s="6"/>
      <c r="PJ146" s="6"/>
      <c r="PK146" s="6"/>
      <c r="PL146" s="6"/>
      <c r="PM146" s="6"/>
      <c r="PN146" s="6"/>
      <c r="PO146" s="6"/>
      <c r="PP146" s="6"/>
      <c r="PQ146" s="6"/>
      <c r="PR146" s="6"/>
      <c r="PS146" s="6"/>
      <c r="PT146" s="6"/>
      <c r="PU146" s="6"/>
      <c r="PV146" s="6"/>
      <c r="PW146" s="6"/>
      <c r="PX146" s="6"/>
      <c r="PY146" s="6"/>
      <c r="PZ146" s="6"/>
      <c r="QA146" s="6"/>
      <c r="QB146" s="6"/>
      <c r="QC146" s="6"/>
      <c r="QD146" s="6"/>
      <c r="QE146" s="6"/>
      <c r="QF146" s="6"/>
      <c r="QG146" s="6"/>
      <c r="QH146" s="6"/>
      <c r="QI146" s="6"/>
      <c r="QJ146" s="6"/>
      <c r="QK146" s="6"/>
      <c r="QL146" s="6"/>
      <c r="QM146" s="6"/>
      <c r="QN146" s="6"/>
      <c r="QO146" s="6"/>
      <c r="QP146" s="6"/>
      <c r="QQ146" s="6"/>
      <c r="QR146" s="6"/>
      <c r="QS146" s="6"/>
      <c r="QT146" s="6"/>
      <c r="QU146" s="6"/>
      <c r="QV146" s="6"/>
      <c r="QW146" s="6"/>
      <c r="QX146" s="6"/>
      <c r="QY146" s="6"/>
      <c r="QZ146" s="6"/>
      <c r="RA146" s="6"/>
      <c r="RB146" s="6"/>
      <c r="RC146" s="6"/>
      <c r="RD146" s="6"/>
      <c r="RE146" s="6"/>
      <c r="RF146" s="6"/>
      <c r="RG146" s="6"/>
      <c r="RH146" s="6"/>
      <c r="RI146" s="6"/>
      <c r="RJ146" s="6"/>
      <c r="RK146" s="6"/>
      <c r="RL146" s="6"/>
      <c r="RM146" s="6"/>
      <c r="RN146" s="6"/>
      <c r="RO146" s="6"/>
      <c r="RP146" s="6"/>
      <c r="RQ146" s="6"/>
      <c r="RR146" s="6"/>
      <c r="RS146" s="6"/>
      <c r="RT146" s="6"/>
      <c r="RU146" s="6"/>
      <c r="RV146" s="6"/>
      <c r="RW146" s="6"/>
      <c r="RX146" s="6"/>
      <c r="RY146" s="6"/>
      <c r="RZ146" s="6"/>
      <c r="SA146" s="6"/>
      <c r="SB146" s="6"/>
      <c r="SC146" s="6"/>
      <c r="SD146" s="6"/>
      <c r="SE146" s="6"/>
      <c r="SF146" s="6"/>
      <c r="SG146" s="6"/>
      <c r="SH146" s="6"/>
      <c r="SI146" s="6"/>
      <c r="SJ146" s="6"/>
      <c r="SK146" s="6"/>
      <c r="SL146" s="6"/>
      <c r="SM146" s="6"/>
      <c r="SN146" s="6"/>
      <c r="SO146" s="6"/>
      <c r="SP146" s="6"/>
      <c r="SQ146" s="6"/>
      <c r="SR146" s="6"/>
      <c r="SS146" s="6"/>
      <c r="ST146" s="6"/>
      <c r="SU146" s="6"/>
      <c r="SV146" s="6"/>
      <c r="SW146" s="6"/>
      <c r="SX146" s="6"/>
      <c r="SY146" s="6"/>
      <c r="SZ146" s="6"/>
      <c r="TA146" s="6"/>
      <c r="TB146" s="6"/>
      <c r="TC146" s="6"/>
      <c r="TD146" s="6"/>
      <c r="TE146" s="6"/>
      <c r="TF146" s="6"/>
      <c r="TG146" s="6"/>
      <c r="TH146" s="6"/>
      <c r="TI146" s="6"/>
      <c r="TJ146" s="6"/>
      <c r="TK146" s="6"/>
      <c r="TL146" s="6"/>
      <c r="TM146" s="6"/>
      <c r="TN146" s="6"/>
      <c r="TO146" s="6"/>
      <c r="TP146" s="6"/>
      <c r="TQ146" s="6"/>
      <c r="TR146" s="6"/>
      <c r="TS146" s="6"/>
      <c r="TT146" s="6"/>
      <c r="TU146" s="6"/>
      <c r="TV146" s="6"/>
      <c r="TW146" s="6"/>
      <c r="TX146" s="6"/>
      <c r="TY146" s="6"/>
      <c r="TZ146" s="6"/>
      <c r="UA146" s="6"/>
      <c r="UB146" s="6"/>
      <c r="UC146" s="6"/>
      <c r="UD146" s="6"/>
      <c r="UE146" s="6"/>
      <c r="UF146" s="6"/>
      <c r="UG146" s="6"/>
      <c r="UH146" s="6"/>
      <c r="UI146" s="6"/>
      <c r="UJ146" s="6"/>
      <c r="UK146" s="6"/>
      <c r="UL146" s="6"/>
      <c r="UM146" s="6"/>
      <c r="UN146" s="6"/>
      <c r="UO146" s="6"/>
      <c r="UP146" s="6"/>
      <c r="UQ146" s="6"/>
      <c r="UR146" s="6"/>
      <c r="US146" s="6"/>
      <c r="UT146" s="6"/>
      <c r="UU146" s="6"/>
      <c r="UV146" s="6"/>
      <c r="UW146" s="6"/>
      <c r="UX146" s="6"/>
      <c r="UY146" s="6"/>
      <c r="UZ146" s="6"/>
      <c r="VA146" s="6"/>
      <c r="VB146" s="6"/>
      <c r="VC146" s="6"/>
      <c r="VD146" s="6"/>
      <c r="VE146" s="6"/>
      <c r="VF146" s="6"/>
      <c r="VG146" s="6"/>
      <c r="VH146" s="6"/>
      <c r="VI146" s="6"/>
      <c r="VJ146" s="6"/>
      <c r="VK146" s="6"/>
      <c r="VL146" s="6"/>
      <c r="VM146" s="6"/>
      <c r="VN146" s="6"/>
      <c r="VO146" s="6"/>
      <c r="VP146" s="6"/>
      <c r="VQ146" s="6"/>
      <c r="VR146" s="6"/>
      <c r="VS146" s="6"/>
      <c r="VT146" s="6"/>
      <c r="VU146" s="6"/>
      <c r="VV146" s="6"/>
      <c r="VW146" s="6"/>
      <c r="VX146" s="6"/>
      <c r="VY146" s="6"/>
      <c r="VZ146" s="6"/>
      <c r="WA146" s="6"/>
      <c r="WB146" s="6"/>
      <c r="WC146" s="6"/>
      <c r="WD146" s="6"/>
      <c r="WE146" s="6"/>
      <c r="WF146" s="6"/>
      <c r="WG146" s="6"/>
      <c r="WH146" s="6"/>
      <c r="WI146" s="6"/>
      <c r="WJ146" s="6"/>
      <c r="WK146" s="6"/>
      <c r="WL146" s="6"/>
      <c r="WM146" s="6"/>
      <c r="WN146" s="6"/>
      <c r="WO146" s="6"/>
      <c r="WP146" s="6"/>
      <c r="WQ146" s="6"/>
      <c r="WR146" s="6"/>
      <c r="WS146" s="6"/>
      <c r="WT146" s="6"/>
      <c r="WU146" s="6"/>
      <c r="WV146" s="6"/>
      <c r="WW146" s="6"/>
      <c r="WX146" s="6"/>
      <c r="WY146" s="6"/>
      <c r="WZ146" s="6"/>
      <c r="XA146" s="6"/>
      <c r="XB146" s="6"/>
      <c r="XC146" s="6"/>
      <c r="XD146" s="6"/>
      <c r="XE146" s="6"/>
      <c r="XF146" s="6"/>
      <c r="XG146" s="6"/>
      <c r="XH146" s="6"/>
      <c r="XI146" s="6"/>
      <c r="XJ146" s="6"/>
      <c r="XK146" s="6"/>
      <c r="XL146" s="6"/>
      <c r="XM146" s="6"/>
      <c r="XN146" s="6"/>
      <c r="XO146" s="6"/>
      <c r="XP146" s="6"/>
      <c r="XQ146" s="6"/>
      <c r="XR146" s="6"/>
      <c r="XS146" s="6"/>
      <c r="XT146" s="6"/>
      <c r="XU146" s="6"/>
      <c r="XV146" s="6"/>
      <c r="XW146" s="6"/>
      <c r="XX146" s="6"/>
      <c r="XY146" s="6"/>
      <c r="XZ146" s="6"/>
      <c r="YA146" s="6"/>
      <c r="YB146" s="6"/>
      <c r="YC146" s="6"/>
      <c r="YD146" s="6"/>
      <c r="YE146" s="6"/>
      <c r="YF146" s="6"/>
      <c r="YG146" s="6"/>
      <c r="YH146" s="6"/>
      <c r="YI146" s="6"/>
      <c r="YJ146" s="6"/>
      <c r="YK146" s="6"/>
      <c r="YL146" s="6"/>
      <c r="YM146" s="6"/>
      <c r="YN146" s="6"/>
      <c r="YO146" s="6"/>
      <c r="YP146" s="6"/>
      <c r="YQ146" s="6"/>
      <c r="YR146" s="6"/>
      <c r="YS146" s="6"/>
      <c r="YT146" s="6"/>
      <c r="YU146" s="6"/>
      <c r="YV146" s="6"/>
      <c r="YW146" s="6"/>
      <c r="YX146" s="6"/>
      <c r="YY146" s="6"/>
      <c r="YZ146" s="6"/>
      <c r="ZA146" s="6"/>
      <c r="ZB146" s="6"/>
      <c r="ZC146" s="6"/>
      <c r="ZD146" s="6"/>
      <c r="ZE146" s="6"/>
      <c r="ZF146" s="6"/>
      <c r="ZG146" s="6"/>
      <c r="ZH146" s="6"/>
      <c r="ZI146" s="6"/>
      <c r="ZJ146" s="6"/>
      <c r="ZK146" s="6"/>
      <c r="ZL146" s="6"/>
      <c r="ZM146" s="6"/>
      <c r="ZN146" s="6"/>
      <c r="ZO146" s="6"/>
      <c r="ZP146" s="6"/>
      <c r="ZQ146" s="6"/>
      <c r="ZR146" s="6"/>
      <c r="ZS146" s="6"/>
      <c r="ZT146" s="6"/>
      <c r="ZU146" s="6"/>
      <c r="ZV146" s="6"/>
      <c r="ZW146" s="6"/>
      <c r="ZX146" s="6"/>
      <c r="ZY146" s="6"/>
      <c r="ZZ146" s="6"/>
      <c r="AAA146" s="6"/>
      <c r="AAB146" s="6"/>
      <c r="AAC146" s="6"/>
      <c r="AAD146" s="6"/>
      <c r="AAE146" s="6"/>
      <c r="AAF146" s="6"/>
      <c r="AAG146" s="6"/>
      <c r="AAH146" s="6"/>
      <c r="AAI146" s="6"/>
      <c r="AAJ146" s="6"/>
      <c r="AAK146" s="6"/>
      <c r="AAL146" s="6"/>
      <c r="AAM146" s="6"/>
      <c r="AAN146" s="6"/>
      <c r="AAO146" s="6"/>
      <c r="AAP146" s="6"/>
      <c r="AAQ146" s="6"/>
      <c r="AAR146" s="6"/>
      <c r="AAS146" s="6"/>
      <c r="AAT146" s="6"/>
      <c r="AAU146" s="6"/>
      <c r="AAV146" s="6"/>
      <c r="AAW146" s="6"/>
      <c r="AAX146" s="6"/>
      <c r="AAY146" s="6"/>
      <c r="AAZ146" s="6"/>
      <c r="ABA146" s="6"/>
      <c r="ABB146" s="6"/>
      <c r="ABC146" s="6"/>
      <c r="ABD146" s="6"/>
      <c r="ABE146" s="6"/>
      <c r="ABF146" s="6"/>
      <c r="ABG146" s="6"/>
      <c r="ABH146" s="6"/>
      <c r="ABI146" s="6"/>
      <c r="ABJ146" s="6"/>
      <c r="ABK146" s="6"/>
      <c r="ABL146" s="6"/>
      <c r="ABM146" s="6"/>
      <c r="ABN146" s="6"/>
      <c r="ABO146" s="6"/>
      <c r="ABP146" s="6"/>
      <c r="ABQ146" s="6"/>
      <c r="ABR146" s="6"/>
      <c r="ABS146" s="6"/>
      <c r="ABT146" s="6"/>
      <c r="ABU146" s="6"/>
      <c r="ABV146" s="6"/>
      <c r="ABW146" s="6"/>
      <c r="ABX146" s="6"/>
      <c r="ABY146" s="6"/>
      <c r="ABZ146" s="6"/>
      <c r="ACA146" s="6"/>
      <c r="ACB146" s="6"/>
      <c r="ACC146" s="6"/>
      <c r="ACD146" s="6"/>
      <c r="ACE146" s="6"/>
      <c r="ACF146" s="6"/>
      <c r="ACG146" s="6"/>
      <c r="ACH146" s="6"/>
      <c r="ACI146" s="6"/>
      <c r="ACJ146" s="6"/>
      <c r="ACK146" s="6"/>
      <c r="ACL146" s="6"/>
      <c r="ACM146" s="6"/>
      <c r="ACN146" s="6"/>
      <c r="ACO146" s="6"/>
      <c r="ACP146" s="6"/>
      <c r="ACQ146" s="6"/>
      <c r="ACR146" s="6"/>
      <c r="ACS146" s="6"/>
      <c r="ACT146" s="6"/>
      <c r="ACU146" s="6"/>
      <c r="ACV146" s="6"/>
      <c r="ACW146" s="6"/>
      <c r="ACX146" s="6"/>
      <c r="ACY146" s="6"/>
      <c r="ACZ146" s="6"/>
      <c r="ADA146" s="6"/>
      <c r="ADB146" s="6"/>
      <c r="ADC146" s="6"/>
      <c r="ADD146" s="6"/>
      <c r="ADE146" s="6"/>
      <c r="ADF146" s="6"/>
      <c r="ADG146" s="6"/>
      <c r="ADH146" s="6"/>
      <c r="ADI146" s="6"/>
      <c r="ADJ146" s="6"/>
    </row>
    <row r="147" spans="1:790" s="291" customFormat="1" ht="27.6" x14ac:dyDescent="0.3">
      <c r="A147" s="399"/>
      <c r="B147" s="558" t="s">
        <v>105</v>
      </c>
      <c r="C147" s="366"/>
      <c r="D147" s="367"/>
      <c r="E147" s="367"/>
      <c r="F147" s="367"/>
      <c r="G147" s="427"/>
      <c r="H147" s="427"/>
      <c r="I147" s="369"/>
      <c r="J147" s="403"/>
      <c r="K147" s="363"/>
      <c r="L147" s="370"/>
      <c r="M147" s="490"/>
      <c r="N147" s="489" t="str">
        <f t="shared" si="71"/>
        <v/>
      </c>
      <c r="O147" s="308"/>
      <c r="Q147" s="497"/>
      <c r="R147" s="481"/>
      <c r="S147" s="514"/>
      <c r="T147" s="515" t="str">
        <f t="shared" si="79"/>
        <v/>
      </c>
      <c r="U147" s="482" t="str">
        <f t="shared" si="80"/>
        <v/>
      </c>
      <c r="V147" s="514"/>
      <c r="W147" s="515" t="str">
        <f t="shared" si="81"/>
        <v/>
      </c>
      <c r="X147" s="507"/>
      <c r="Y147" s="507"/>
      <c r="Z147" s="478"/>
      <c r="AA147" s="471"/>
      <c r="AB147" s="471"/>
      <c r="AC147" s="471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6"/>
      <c r="KZ147" s="6"/>
      <c r="LA147" s="6"/>
      <c r="LB147" s="6"/>
      <c r="LC147" s="6"/>
      <c r="LD147" s="6"/>
      <c r="LE147" s="6"/>
      <c r="LF147" s="6"/>
      <c r="LG147" s="6"/>
      <c r="LH147" s="6"/>
      <c r="LI147" s="6"/>
      <c r="LJ147" s="6"/>
      <c r="LK147" s="6"/>
      <c r="LL147" s="6"/>
      <c r="LM147" s="6"/>
      <c r="LN147" s="6"/>
      <c r="LO147" s="6"/>
      <c r="LP147" s="6"/>
      <c r="LQ147" s="6"/>
      <c r="LR147" s="6"/>
      <c r="LS147" s="6"/>
      <c r="LT147" s="6"/>
      <c r="LU147" s="6"/>
      <c r="LV147" s="6"/>
      <c r="LW147" s="6"/>
      <c r="LX147" s="6"/>
      <c r="LY147" s="6"/>
      <c r="LZ147" s="6"/>
      <c r="MA147" s="6"/>
      <c r="MB147" s="6"/>
      <c r="MC147" s="6"/>
      <c r="MD147" s="6"/>
      <c r="ME147" s="6"/>
      <c r="MF147" s="6"/>
      <c r="MG147" s="6"/>
      <c r="MH147" s="6"/>
      <c r="MI147" s="6"/>
      <c r="MJ147" s="6"/>
      <c r="MK147" s="6"/>
      <c r="ML147" s="6"/>
      <c r="MM147" s="6"/>
      <c r="MN147" s="6"/>
      <c r="MO147" s="6"/>
      <c r="MP147" s="6"/>
      <c r="MQ147" s="6"/>
      <c r="MR147" s="6"/>
      <c r="MS147" s="6"/>
      <c r="MT147" s="6"/>
      <c r="MU147" s="6"/>
      <c r="MV147" s="6"/>
      <c r="MW147" s="6"/>
      <c r="MX147" s="6"/>
      <c r="MY147" s="6"/>
      <c r="MZ147" s="6"/>
      <c r="NA147" s="6"/>
      <c r="NB147" s="6"/>
      <c r="NC147" s="6"/>
      <c r="ND147" s="6"/>
      <c r="NE147" s="6"/>
      <c r="NF147" s="6"/>
      <c r="NG147" s="6"/>
      <c r="NH147" s="6"/>
      <c r="NI147" s="6"/>
      <c r="NJ147" s="6"/>
      <c r="NK147" s="6"/>
      <c r="NL147" s="6"/>
      <c r="NM147" s="6"/>
      <c r="NN147" s="6"/>
      <c r="NO147" s="6"/>
      <c r="NP147" s="6"/>
      <c r="NQ147" s="6"/>
      <c r="NR147" s="6"/>
      <c r="NS147" s="6"/>
      <c r="NT147" s="6"/>
      <c r="NU147" s="6"/>
      <c r="NV147" s="6"/>
      <c r="NW147" s="6"/>
      <c r="NX147" s="6"/>
      <c r="NY147" s="6"/>
      <c r="NZ147" s="6"/>
      <c r="OA147" s="6"/>
      <c r="OB147" s="6"/>
      <c r="OC147" s="6"/>
      <c r="OD147" s="6"/>
      <c r="OE147" s="6"/>
      <c r="OF147" s="6"/>
      <c r="OG147" s="6"/>
      <c r="OH147" s="6"/>
      <c r="OI147" s="6"/>
      <c r="OJ147" s="6"/>
      <c r="OK147" s="6"/>
      <c r="OL147" s="6"/>
      <c r="OM147" s="6"/>
      <c r="ON147" s="6"/>
      <c r="OO147" s="6"/>
      <c r="OP147" s="6"/>
      <c r="OQ147" s="6"/>
      <c r="OR147" s="6"/>
      <c r="OS147" s="6"/>
      <c r="OT147" s="6"/>
      <c r="OU147" s="6"/>
      <c r="OV147" s="6"/>
      <c r="OW147" s="6"/>
      <c r="OX147" s="6"/>
      <c r="OY147" s="6"/>
      <c r="OZ147" s="6"/>
      <c r="PA147" s="6"/>
      <c r="PB147" s="6"/>
      <c r="PC147" s="6"/>
      <c r="PD147" s="6"/>
      <c r="PE147" s="6"/>
      <c r="PF147" s="6"/>
      <c r="PG147" s="6"/>
      <c r="PH147" s="6"/>
      <c r="PI147" s="6"/>
      <c r="PJ147" s="6"/>
      <c r="PK147" s="6"/>
      <c r="PL147" s="6"/>
      <c r="PM147" s="6"/>
      <c r="PN147" s="6"/>
      <c r="PO147" s="6"/>
      <c r="PP147" s="6"/>
      <c r="PQ147" s="6"/>
      <c r="PR147" s="6"/>
      <c r="PS147" s="6"/>
      <c r="PT147" s="6"/>
      <c r="PU147" s="6"/>
      <c r="PV147" s="6"/>
      <c r="PW147" s="6"/>
      <c r="PX147" s="6"/>
      <c r="PY147" s="6"/>
      <c r="PZ147" s="6"/>
      <c r="QA147" s="6"/>
      <c r="QB147" s="6"/>
      <c r="QC147" s="6"/>
      <c r="QD147" s="6"/>
      <c r="QE147" s="6"/>
      <c r="QF147" s="6"/>
      <c r="QG147" s="6"/>
      <c r="QH147" s="6"/>
      <c r="QI147" s="6"/>
      <c r="QJ147" s="6"/>
      <c r="QK147" s="6"/>
      <c r="QL147" s="6"/>
      <c r="QM147" s="6"/>
      <c r="QN147" s="6"/>
      <c r="QO147" s="6"/>
      <c r="QP147" s="6"/>
      <c r="QQ147" s="6"/>
      <c r="QR147" s="6"/>
      <c r="QS147" s="6"/>
      <c r="QT147" s="6"/>
      <c r="QU147" s="6"/>
      <c r="QV147" s="6"/>
      <c r="QW147" s="6"/>
      <c r="QX147" s="6"/>
      <c r="QY147" s="6"/>
      <c r="QZ147" s="6"/>
      <c r="RA147" s="6"/>
      <c r="RB147" s="6"/>
      <c r="RC147" s="6"/>
      <c r="RD147" s="6"/>
      <c r="RE147" s="6"/>
      <c r="RF147" s="6"/>
      <c r="RG147" s="6"/>
      <c r="RH147" s="6"/>
      <c r="RI147" s="6"/>
      <c r="RJ147" s="6"/>
      <c r="RK147" s="6"/>
      <c r="RL147" s="6"/>
      <c r="RM147" s="6"/>
      <c r="RN147" s="6"/>
      <c r="RO147" s="6"/>
      <c r="RP147" s="6"/>
      <c r="RQ147" s="6"/>
      <c r="RR147" s="6"/>
      <c r="RS147" s="6"/>
      <c r="RT147" s="6"/>
      <c r="RU147" s="6"/>
      <c r="RV147" s="6"/>
      <c r="RW147" s="6"/>
      <c r="RX147" s="6"/>
      <c r="RY147" s="6"/>
      <c r="RZ147" s="6"/>
      <c r="SA147" s="6"/>
      <c r="SB147" s="6"/>
      <c r="SC147" s="6"/>
      <c r="SD147" s="6"/>
      <c r="SE147" s="6"/>
      <c r="SF147" s="6"/>
      <c r="SG147" s="6"/>
      <c r="SH147" s="6"/>
      <c r="SI147" s="6"/>
      <c r="SJ147" s="6"/>
      <c r="SK147" s="6"/>
      <c r="SL147" s="6"/>
      <c r="SM147" s="6"/>
      <c r="SN147" s="6"/>
      <c r="SO147" s="6"/>
      <c r="SP147" s="6"/>
      <c r="SQ147" s="6"/>
      <c r="SR147" s="6"/>
      <c r="SS147" s="6"/>
      <c r="ST147" s="6"/>
      <c r="SU147" s="6"/>
      <c r="SV147" s="6"/>
      <c r="SW147" s="6"/>
      <c r="SX147" s="6"/>
      <c r="SY147" s="6"/>
      <c r="SZ147" s="6"/>
      <c r="TA147" s="6"/>
      <c r="TB147" s="6"/>
      <c r="TC147" s="6"/>
      <c r="TD147" s="6"/>
      <c r="TE147" s="6"/>
      <c r="TF147" s="6"/>
      <c r="TG147" s="6"/>
      <c r="TH147" s="6"/>
      <c r="TI147" s="6"/>
      <c r="TJ147" s="6"/>
      <c r="TK147" s="6"/>
      <c r="TL147" s="6"/>
      <c r="TM147" s="6"/>
      <c r="TN147" s="6"/>
      <c r="TO147" s="6"/>
      <c r="TP147" s="6"/>
      <c r="TQ147" s="6"/>
      <c r="TR147" s="6"/>
      <c r="TS147" s="6"/>
      <c r="TT147" s="6"/>
      <c r="TU147" s="6"/>
      <c r="TV147" s="6"/>
      <c r="TW147" s="6"/>
      <c r="TX147" s="6"/>
      <c r="TY147" s="6"/>
      <c r="TZ147" s="6"/>
      <c r="UA147" s="6"/>
      <c r="UB147" s="6"/>
      <c r="UC147" s="6"/>
      <c r="UD147" s="6"/>
      <c r="UE147" s="6"/>
      <c r="UF147" s="6"/>
      <c r="UG147" s="6"/>
      <c r="UH147" s="6"/>
      <c r="UI147" s="6"/>
      <c r="UJ147" s="6"/>
      <c r="UK147" s="6"/>
      <c r="UL147" s="6"/>
      <c r="UM147" s="6"/>
      <c r="UN147" s="6"/>
      <c r="UO147" s="6"/>
      <c r="UP147" s="6"/>
      <c r="UQ147" s="6"/>
      <c r="UR147" s="6"/>
      <c r="US147" s="6"/>
      <c r="UT147" s="6"/>
      <c r="UU147" s="6"/>
      <c r="UV147" s="6"/>
      <c r="UW147" s="6"/>
      <c r="UX147" s="6"/>
      <c r="UY147" s="6"/>
      <c r="UZ147" s="6"/>
      <c r="VA147" s="6"/>
      <c r="VB147" s="6"/>
      <c r="VC147" s="6"/>
      <c r="VD147" s="6"/>
      <c r="VE147" s="6"/>
      <c r="VF147" s="6"/>
      <c r="VG147" s="6"/>
      <c r="VH147" s="6"/>
      <c r="VI147" s="6"/>
      <c r="VJ147" s="6"/>
      <c r="VK147" s="6"/>
      <c r="VL147" s="6"/>
      <c r="VM147" s="6"/>
      <c r="VN147" s="6"/>
      <c r="VO147" s="6"/>
      <c r="VP147" s="6"/>
      <c r="VQ147" s="6"/>
      <c r="VR147" s="6"/>
      <c r="VS147" s="6"/>
      <c r="VT147" s="6"/>
      <c r="VU147" s="6"/>
      <c r="VV147" s="6"/>
      <c r="VW147" s="6"/>
      <c r="VX147" s="6"/>
      <c r="VY147" s="6"/>
      <c r="VZ147" s="6"/>
      <c r="WA147" s="6"/>
      <c r="WB147" s="6"/>
      <c r="WC147" s="6"/>
      <c r="WD147" s="6"/>
      <c r="WE147" s="6"/>
      <c r="WF147" s="6"/>
      <c r="WG147" s="6"/>
      <c r="WH147" s="6"/>
      <c r="WI147" s="6"/>
      <c r="WJ147" s="6"/>
      <c r="WK147" s="6"/>
      <c r="WL147" s="6"/>
      <c r="WM147" s="6"/>
      <c r="WN147" s="6"/>
      <c r="WO147" s="6"/>
      <c r="WP147" s="6"/>
      <c r="WQ147" s="6"/>
      <c r="WR147" s="6"/>
      <c r="WS147" s="6"/>
      <c r="WT147" s="6"/>
      <c r="WU147" s="6"/>
      <c r="WV147" s="6"/>
      <c r="WW147" s="6"/>
      <c r="WX147" s="6"/>
      <c r="WY147" s="6"/>
      <c r="WZ147" s="6"/>
      <c r="XA147" s="6"/>
      <c r="XB147" s="6"/>
      <c r="XC147" s="6"/>
      <c r="XD147" s="6"/>
      <c r="XE147" s="6"/>
      <c r="XF147" s="6"/>
      <c r="XG147" s="6"/>
      <c r="XH147" s="6"/>
      <c r="XI147" s="6"/>
      <c r="XJ147" s="6"/>
      <c r="XK147" s="6"/>
      <c r="XL147" s="6"/>
      <c r="XM147" s="6"/>
      <c r="XN147" s="6"/>
      <c r="XO147" s="6"/>
      <c r="XP147" s="6"/>
      <c r="XQ147" s="6"/>
      <c r="XR147" s="6"/>
      <c r="XS147" s="6"/>
      <c r="XT147" s="6"/>
      <c r="XU147" s="6"/>
      <c r="XV147" s="6"/>
      <c r="XW147" s="6"/>
      <c r="XX147" s="6"/>
      <c r="XY147" s="6"/>
      <c r="XZ147" s="6"/>
      <c r="YA147" s="6"/>
      <c r="YB147" s="6"/>
      <c r="YC147" s="6"/>
      <c r="YD147" s="6"/>
      <c r="YE147" s="6"/>
      <c r="YF147" s="6"/>
      <c r="YG147" s="6"/>
      <c r="YH147" s="6"/>
      <c r="YI147" s="6"/>
      <c r="YJ147" s="6"/>
      <c r="YK147" s="6"/>
      <c r="YL147" s="6"/>
      <c r="YM147" s="6"/>
      <c r="YN147" s="6"/>
      <c r="YO147" s="6"/>
      <c r="YP147" s="6"/>
      <c r="YQ147" s="6"/>
      <c r="YR147" s="6"/>
      <c r="YS147" s="6"/>
      <c r="YT147" s="6"/>
      <c r="YU147" s="6"/>
      <c r="YV147" s="6"/>
      <c r="YW147" s="6"/>
      <c r="YX147" s="6"/>
      <c r="YY147" s="6"/>
      <c r="YZ147" s="6"/>
      <c r="ZA147" s="6"/>
      <c r="ZB147" s="6"/>
      <c r="ZC147" s="6"/>
      <c r="ZD147" s="6"/>
      <c r="ZE147" s="6"/>
      <c r="ZF147" s="6"/>
      <c r="ZG147" s="6"/>
      <c r="ZH147" s="6"/>
      <c r="ZI147" s="6"/>
      <c r="ZJ147" s="6"/>
      <c r="ZK147" s="6"/>
      <c r="ZL147" s="6"/>
      <c r="ZM147" s="6"/>
      <c r="ZN147" s="6"/>
      <c r="ZO147" s="6"/>
      <c r="ZP147" s="6"/>
      <c r="ZQ147" s="6"/>
      <c r="ZR147" s="6"/>
      <c r="ZS147" s="6"/>
      <c r="ZT147" s="6"/>
      <c r="ZU147" s="6"/>
      <c r="ZV147" s="6"/>
      <c r="ZW147" s="6"/>
      <c r="ZX147" s="6"/>
      <c r="ZY147" s="6"/>
      <c r="ZZ147" s="6"/>
      <c r="AAA147" s="6"/>
      <c r="AAB147" s="6"/>
      <c r="AAC147" s="6"/>
      <c r="AAD147" s="6"/>
      <c r="AAE147" s="6"/>
      <c r="AAF147" s="6"/>
      <c r="AAG147" s="6"/>
      <c r="AAH147" s="6"/>
      <c r="AAI147" s="6"/>
      <c r="AAJ147" s="6"/>
      <c r="AAK147" s="6"/>
      <c r="AAL147" s="6"/>
      <c r="AAM147" s="6"/>
      <c r="AAN147" s="6"/>
      <c r="AAO147" s="6"/>
      <c r="AAP147" s="6"/>
      <c r="AAQ147" s="6"/>
      <c r="AAR147" s="6"/>
      <c r="AAS147" s="6"/>
      <c r="AAT147" s="6"/>
      <c r="AAU147" s="6"/>
      <c r="AAV147" s="6"/>
      <c r="AAW147" s="6"/>
      <c r="AAX147" s="6"/>
      <c r="AAY147" s="6"/>
      <c r="AAZ147" s="6"/>
      <c r="ABA147" s="6"/>
      <c r="ABB147" s="6"/>
      <c r="ABC147" s="6"/>
      <c r="ABD147" s="6"/>
      <c r="ABE147" s="6"/>
      <c r="ABF147" s="6"/>
      <c r="ABG147" s="6"/>
      <c r="ABH147" s="6"/>
      <c r="ABI147" s="6"/>
      <c r="ABJ147" s="6"/>
      <c r="ABK147" s="6"/>
      <c r="ABL147" s="6"/>
      <c r="ABM147" s="6"/>
      <c r="ABN147" s="6"/>
      <c r="ABO147" s="6"/>
      <c r="ABP147" s="6"/>
      <c r="ABQ147" s="6"/>
      <c r="ABR147" s="6"/>
      <c r="ABS147" s="6"/>
      <c r="ABT147" s="6"/>
      <c r="ABU147" s="6"/>
      <c r="ABV147" s="6"/>
      <c r="ABW147" s="6"/>
      <c r="ABX147" s="6"/>
      <c r="ABY147" s="6"/>
      <c r="ABZ147" s="6"/>
      <c r="ACA147" s="6"/>
      <c r="ACB147" s="6"/>
      <c r="ACC147" s="6"/>
      <c r="ACD147" s="6"/>
      <c r="ACE147" s="6"/>
      <c r="ACF147" s="6"/>
      <c r="ACG147" s="6"/>
      <c r="ACH147" s="6"/>
      <c r="ACI147" s="6"/>
      <c r="ACJ147" s="6"/>
      <c r="ACK147" s="6"/>
      <c r="ACL147" s="6"/>
      <c r="ACM147" s="6"/>
      <c r="ACN147" s="6"/>
      <c r="ACO147" s="6"/>
      <c r="ACP147" s="6"/>
      <c r="ACQ147" s="6"/>
      <c r="ACR147" s="6"/>
      <c r="ACS147" s="6"/>
      <c r="ACT147" s="6"/>
      <c r="ACU147" s="6"/>
      <c r="ACV147" s="6"/>
      <c r="ACW147" s="6"/>
      <c r="ACX147" s="6"/>
      <c r="ACY147" s="6"/>
      <c r="ACZ147" s="6"/>
      <c r="ADA147" s="6"/>
      <c r="ADB147" s="6"/>
      <c r="ADC147" s="6"/>
      <c r="ADD147" s="6"/>
      <c r="ADE147" s="6"/>
      <c r="ADF147" s="6"/>
      <c r="ADG147" s="6"/>
      <c r="ADH147" s="6"/>
      <c r="ADI147" s="6"/>
      <c r="ADJ147" s="6"/>
    </row>
    <row r="148" spans="1:790" s="291" customFormat="1" x14ac:dyDescent="0.3">
      <c r="A148" s="399"/>
      <c r="B148" s="571" t="s">
        <v>106</v>
      </c>
      <c r="C148" s="366"/>
      <c r="D148" s="367"/>
      <c r="E148" s="367"/>
      <c r="F148" s="362">
        <v>1174</v>
      </c>
      <c r="G148" s="362">
        <v>3.6</v>
      </c>
      <c r="H148" s="362">
        <f>+PRODUCT(C148:G148)</f>
        <v>4226.4000000000005</v>
      </c>
      <c r="I148" s="369" t="s">
        <v>22</v>
      </c>
      <c r="J148" s="362">
        <f>+PRODUCT(C148:G148)</f>
        <v>4226.4000000000005</v>
      </c>
      <c r="K148" s="363">
        <v>8</v>
      </c>
      <c r="L148" s="370">
        <f t="shared" ref="L148" si="136">J148*K148</f>
        <v>33811.200000000004</v>
      </c>
      <c r="M148" s="490">
        <f t="shared" ref="M148" si="137">K148*(100%-16.5%)</f>
        <v>6.68</v>
      </c>
      <c r="N148" s="489">
        <f t="shared" ref="N148:N211" si="138">IF(M148&gt;0,M148*J148,"")</f>
        <v>28232.352000000003</v>
      </c>
      <c r="O148" s="308" t="s">
        <v>207</v>
      </c>
      <c r="Q148" s="497" t="s">
        <v>207</v>
      </c>
      <c r="R148" s="481">
        <f t="shared" si="78"/>
        <v>4226.4000000000005</v>
      </c>
      <c r="S148" s="514">
        <f>[2]CM!$M$128</f>
        <v>3</v>
      </c>
      <c r="T148" s="515">
        <f t="shared" si="79"/>
        <v>12679.2</v>
      </c>
      <c r="U148" s="482">
        <f t="shared" si="80"/>
        <v>4226.4000000000005</v>
      </c>
      <c r="V148" s="514"/>
      <c r="W148" s="515" t="str">
        <f t="shared" ref="W148" si="139">IF(V148&gt;0,V148*U148,"")</f>
        <v/>
      </c>
      <c r="X148" s="507">
        <f t="shared" ref="X148" si="140">V148+S148</f>
        <v>3</v>
      </c>
      <c r="Y148" s="520">
        <f t="shared" ref="Y148" si="141">M148-X148</f>
        <v>3.6799999999999997</v>
      </c>
      <c r="Z148" s="521">
        <f t="shared" ref="Z148" si="142">Y148/M148</f>
        <v>0.55089820359281438</v>
      </c>
      <c r="AA148" s="471"/>
      <c r="AB148" s="471"/>
      <c r="AC148" s="471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6"/>
      <c r="KZ148" s="6"/>
      <c r="LA148" s="6"/>
      <c r="LB148" s="6"/>
      <c r="LC148" s="6"/>
      <c r="LD148" s="6"/>
      <c r="LE148" s="6"/>
      <c r="LF148" s="6"/>
      <c r="LG148" s="6"/>
      <c r="LH148" s="6"/>
      <c r="LI148" s="6"/>
      <c r="LJ148" s="6"/>
      <c r="LK148" s="6"/>
      <c r="LL148" s="6"/>
      <c r="LM148" s="6"/>
      <c r="LN148" s="6"/>
      <c r="LO148" s="6"/>
      <c r="LP148" s="6"/>
      <c r="LQ148" s="6"/>
      <c r="LR148" s="6"/>
      <c r="LS148" s="6"/>
      <c r="LT148" s="6"/>
      <c r="LU148" s="6"/>
      <c r="LV148" s="6"/>
      <c r="LW148" s="6"/>
      <c r="LX148" s="6"/>
      <c r="LY148" s="6"/>
      <c r="LZ148" s="6"/>
      <c r="MA148" s="6"/>
      <c r="MB148" s="6"/>
      <c r="MC148" s="6"/>
      <c r="MD148" s="6"/>
      <c r="ME148" s="6"/>
      <c r="MF148" s="6"/>
      <c r="MG148" s="6"/>
      <c r="MH148" s="6"/>
      <c r="MI148" s="6"/>
      <c r="MJ148" s="6"/>
      <c r="MK148" s="6"/>
      <c r="ML148" s="6"/>
      <c r="MM148" s="6"/>
      <c r="MN148" s="6"/>
      <c r="MO148" s="6"/>
      <c r="MP148" s="6"/>
      <c r="MQ148" s="6"/>
      <c r="MR148" s="6"/>
      <c r="MS148" s="6"/>
      <c r="MT148" s="6"/>
      <c r="MU148" s="6"/>
      <c r="MV148" s="6"/>
      <c r="MW148" s="6"/>
      <c r="MX148" s="6"/>
      <c r="MY148" s="6"/>
      <c r="MZ148" s="6"/>
      <c r="NA148" s="6"/>
      <c r="NB148" s="6"/>
      <c r="NC148" s="6"/>
      <c r="ND148" s="6"/>
      <c r="NE148" s="6"/>
      <c r="NF148" s="6"/>
      <c r="NG148" s="6"/>
      <c r="NH148" s="6"/>
      <c r="NI148" s="6"/>
      <c r="NJ148" s="6"/>
      <c r="NK148" s="6"/>
      <c r="NL148" s="6"/>
      <c r="NM148" s="6"/>
      <c r="NN148" s="6"/>
      <c r="NO148" s="6"/>
      <c r="NP148" s="6"/>
      <c r="NQ148" s="6"/>
      <c r="NR148" s="6"/>
      <c r="NS148" s="6"/>
      <c r="NT148" s="6"/>
      <c r="NU148" s="6"/>
      <c r="NV148" s="6"/>
      <c r="NW148" s="6"/>
      <c r="NX148" s="6"/>
      <c r="NY148" s="6"/>
      <c r="NZ148" s="6"/>
      <c r="OA148" s="6"/>
      <c r="OB148" s="6"/>
      <c r="OC148" s="6"/>
      <c r="OD148" s="6"/>
      <c r="OE148" s="6"/>
      <c r="OF148" s="6"/>
      <c r="OG148" s="6"/>
      <c r="OH148" s="6"/>
      <c r="OI148" s="6"/>
      <c r="OJ148" s="6"/>
      <c r="OK148" s="6"/>
      <c r="OL148" s="6"/>
      <c r="OM148" s="6"/>
      <c r="ON148" s="6"/>
      <c r="OO148" s="6"/>
      <c r="OP148" s="6"/>
      <c r="OQ148" s="6"/>
      <c r="OR148" s="6"/>
      <c r="OS148" s="6"/>
      <c r="OT148" s="6"/>
      <c r="OU148" s="6"/>
      <c r="OV148" s="6"/>
      <c r="OW148" s="6"/>
      <c r="OX148" s="6"/>
      <c r="OY148" s="6"/>
      <c r="OZ148" s="6"/>
      <c r="PA148" s="6"/>
      <c r="PB148" s="6"/>
      <c r="PC148" s="6"/>
      <c r="PD148" s="6"/>
      <c r="PE148" s="6"/>
      <c r="PF148" s="6"/>
      <c r="PG148" s="6"/>
      <c r="PH148" s="6"/>
      <c r="PI148" s="6"/>
      <c r="PJ148" s="6"/>
      <c r="PK148" s="6"/>
      <c r="PL148" s="6"/>
      <c r="PM148" s="6"/>
      <c r="PN148" s="6"/>
      <c r="PO148" s="6"/>
      <c r="PP148" s="6"/>
      <c r="PQ148" s="6"/>
      <c r="PR148" s="6"/>
      <c r="PS148" s="6"/>
      <c r="PT148" s="6"/>
      <c r="PU148" s="6"/>
      <c r="PV148" s="6"/>
      <c r="PW148" s="6"/>
      <c r="PX148" s="6"/>
      <c r="PY148" s="6"/>
      <c r="PZ148" s="6"/>
      <c r="QA148" s="6"/>
      <c r="QB148" s="6"/>
      <c r="QC148" s="6"/>
      <c r="QD148" s="6"/>
      <c r="QE148" s="6"/>
      <c r="QF148" s="6"/>
      <c r="QG148" s="6"/>
      <c r="QH148" s="6"/>
      <c r="QI148" s="6"/>
      <c r="QJ148" s="6"/>
      <c r="QK148" s="6"/>
      <c r="QL148" s="6"/>
      <c r="QM148" s="6"/>
      <c r="QN148" s="6"/>
      <c r="QO148" s="6"/>
      <c r="QP148" s="6"/>
      <c r="QQ148" s="6"/>
      <c r="QR148" s="6"/>
      <c r="QS148" s="6"/>
      <c r="QT148" s="6"/>
      <c r="QU148" s="6"/>
      <c r="QV148" s="6"/>
      <c r="QW148" s="6"/>
      <c r="QX148" s="6"/>
      <c r="QY148" s="6"/>
      <c r="QZ148" s="6"/>
      <c r="RA148" s="6"/>
      <c r="RB148" s="6"/>
      <c r="RC148" s="6"/>
      <c r="RD148" s="6"/>
      <c r="RE148" s="6"/>
      <c r="RF148" s="6"/>
      <c r="RG148" s="6"/>
      <c r="RH148" s="6"/>
      <c r="RI148" s="6"/>
      <c r="RJ148" s="6"/>
      <c r="RK148" s="6"/>
      <c r="RL148" s="6"/>
      <c r="RM148" s="6"/>
      <c r="RN148" s="6"/>
      <c r="RO148" s="6"/>
      <c r="RP148" s="6"/>
      <c r="RQ148" s="6"/>
      <c r="RR148" s="6"/>
      <c r="RS148" s="6"/>
      <c r="RT148" s="6"/>
      <c r="RU148" s="6"/>
      <c r="RV148" s="6"/>
      <c r="RW148" s="6"/>
      <c r="RX148" s="6"/>
      <c r="RY148" s="6"/>
      <c r="RZ148" s="6"/>
      <c r="SA148" s="6"/>
      <c r="SB148" s="6"/>
      <c r="SC148" s="6"/>
      <c r="SD148" s="6"/>
      <c r="SE148" s="6"/>
      <c r="SF148" s="6"/>
      <c r="SG148" s="6"/>
      <c r="SH148" s="6"/>
      <c r="SI148" s="6"/>
      <c r="SJ148" s="6"/>
      <c r="SK148" s="6"/>
      <c r="SL148" s="6"/>
      <c r="SM148" s="6"/>
      <c r="SN148" s="6"/>
      <c r="SO148" s="6"/>
      <c r="SP148" s="6"/>
      <c r="SQ148" s="6"/>
      <c r="SR148" s="6"/>
      <c r="SS148" s="6"/>
      <c r="ST148" s="6"/>
      <c r="SU148" s="6"/>
      <c r="SV148" s="6"/>
      <c r="SW148" s="6"/>
      <c r="SX148" s="6"/>
      <c r="SY148" s="6"/>
      <c r="SZ148" s="6"/>
      <c r="TA148" s="6"/>
      <c r="TB148" s="6"/>
      <c r="TC148" s="6"/>
      <c r="TD148" s="6"/>
      <c r="TE148" s="6"/>
      <c r="TF148" s="6"/>
      <c r="TG148" s="6"/>
      <c r="TH148" s="6"/>
      <c r="TI148" s="6"/>
      <c r="TJ148" s="6"/>
      <c r="TK148" s="6"/>
      <c r="TL148" s="6"/>
      <c r="TM148" s="6"/>
      <c r="TN148" s="6"/>
      <c r="TO148" s="6"/>
      <c r="TP148" s="6"/>
      <c r="TQ148" s="6"/>
      <c r="TR148" s="6"/>
      <c r="TS148" s="6"/>
      <c r="TT148" s="6"/>
      <c r="TU148" s="6"/>
      <c r="TV148" s="6"/>
      <c r="TW148" s="6"/>
      <c r="TX148" s="6"/>
      <c r="TY148" s="6"/>
      <c r="TZ148" s="6"/>
      <c r="UA148" s="6"/>
      <c r="UB148" s="6"/>
      <c r="UC148" s="6"/>
      <c r="UD148" s="6"/>
      <c r="UE148" s="6"/>
      <c r="UF148" s="6"/>
      <c r="UG148" s="6"/>
      <c r="UH148" s="6"/>
      <c r="UI148" s="6"/>
      <c r="UJ148" s="6"/>
      <c r="UK148" s="6"/>
      <c r="UL148" s="6"/>
      <c r="UM148" s="6"/>
      <c r="UN148" s="6"/>
      <c r="UO148" s="6"/>
      <c r="UP148" s="6"/>
      <c r="UQ148" s="6"/>
      <c r="UR148" s="6"/>
      <c r="US148" s="6"/>
      <c r="UT148" s="6"/>
      <c r="UU148" s="6"/>
      <c r="UV148" s="6"/>
      <c r="UW148" s="6"/>
      <c r="UX148" s="6"/>
      <c r="UY148" s="6"/>
      <c r="UZ148" s="6"/>
      <c r="VA148" s="6"/>
      <c r="VB148" s="6"/>
      <c r="VC148" s="6"/>
      <c r="VD148" s="6"/>
      <c r="VE148" s="6"/>
      <c r="VF148" s="6"/>
      <c r="VG148" s="6"/>
      <c r="VH148" s="6"/>
      <c r="VI148" s="6"/>
      <c r="VJ148" s="6"/>
      <c r="VK148" s="6"/>
      <c r="VL148" s="6"/>
      <c r="VM148" s="6"/>
      <c r="VN148" s="6"/>
      <c r="VO148" s="6"/>
      <c r="VP148" s="6"/>
      <c r="VQ148" s="6"/>
      <c r="VR148" s="6"/>
      <c r="VS148" s="6"/>
      <c r="VT148" s="6"/>
      <c r="VU148" s="6"/>
      <c r="VV148" s="6"/>
      <c r="VW148" s="6"/>
      <c r="VX148" s="6"/>
      <c r="VY148" s="6"/>
      <c r="VZ148" s="6"/>
      <c r="WA148" s="6"/>
      <c r="WB148" s="6"/>
      <c r="WC148" s="6"/>
      <c r="WD148" s="6"/>
      <c r="WE148" s="6"/>
      <c r="WF148" s="6"/>
      <c r="WG148" s="6"/>
      <c r="WH148" s="6"/>
      <c r="WI148" s="6"/>
      <c r="WJ148" s="6"/>
      <c r="WK148" s="6"/>
      <c r="WL148" s="6"/>
      <c r="WM148" s="6"/>
      <c r="WN148" s="6"/>
      <c r="WO148" s="6"/>
      <c r="WP148" s="6"/>
      <c r="WQ148" s="6"/>
      <c r="WR148" s="6"/>
      <c r="WS148" s="6"/>
      <c r="WT148" s="6"/>
      <c r="WU148" s="6"/>
      <c r="WV148" s="6"/>
      <c r="WW148" s="6"/>
      <c r="WX148" s="6"/>
      <c r="WY148" s="6"/>
      <c r="WZ148" s="6"/>
      <c r="XA148" s="6"/>
      <c r="XB148" s="6"/>
      <c r="XC148" s="6"/>
      <c r="XD148" s="6"/>
      <c r="XE148" s="6"/>
      <c r="XF148" s="6"/>
      <c r="XG148" s="6"/>
      <c r="XH148" s="6"/>
      <c r="XI148" s="6"/>
      <c r="XJ148" s="6"/>
      <c r="XK148" s="6"/>
      <c r="XL148" s="6"/>
      <c r="XM148" s="6"/>
      <c r="XN148" s="6"/>
      <c r="XO148" s="6"/>
      <c r="XP148" s="6"/>
      <c r="XQ148" s="6"/>
      <c r="XR148" s="6"/>
      <c r="XS148" s="6"/>
      <c r="XT148" s="6"/>
      <c r="XU148" s="6"/>
      <c r="XV148" s="6"/>
      <c r="XW148" s="6"/>
      <c r="XX148" s="6"/>
      <c r="XY148" s="6"/>
      <c r="XZ148" s="6"/>
      <c r="YA148" s="6"/>
      <c r="YB148" s="6"/>
      <c r="YC148" s="6"/>
      <c r="YD148" s="6"/>
      <c r="YE148" s="6"/>
      <c r="YF148" s="6"/>
      <c r="YG148" s="6"/>
      <c r="YH148" s="6"/>
      <c r="YI148" s="6"/>
      <c r="YJ148" s="6"/>
      <c r="YK148" s="6"/>
      <c r="YL148" s="6"/>
      <c r="YM148" s="6"/>
      <c r="YN148" s="6"/>
      <c r="YO148" s="6"/>
      <c r="YP148" s="6"/>
      <c r="YQ148" s="6"/>
      <c r="YR148" s="6"/>
      <c r="YS148" s="6"/>
      <c r="YT148" s="6"/>
      <c r="YU148" s="6"/>
      <c r="YV148" s="6"/>
      <c r="YW148" s="6"/>
      <c r="YX148" s="6"/>
      <c r="YY148" s="6"/>
      <c r="YZ148" s="6"/>
      <c r="ZA148" s="6"/>
      <c r="ZB148" s="6"/>
      <c r="ZC148" s="6"/>
      <c r="ZD148" s="6"/>
      <c r="ZE148" s="6"/>
      <c r="ZF148" s="6"/>
      <c r="ZG148" s="6"/>
      <c r="ZH148" s="6"/>
      <c r="ZI148" s="6"/>
      <c r="ZJ148" s="6"/>
      <c r="ZK148" s="6"/>
      <c r="ZL148" s="6"/>
      <c r="ZM148" s="6"/>
      <c r="ZN148" s="6"/>
      <c r="ZO148" s="6"/>
      <c r="ZP148" s="6"/>
      <c r="ZQ148" s="6"/>
      <c r="ZR148" s="6"/>
      <c r="ZS148" s="6"/>
      <c r="ZT148" s="6"/>
      <c r="ZU148" s="6"/>
      <c r="ZV148" s="6"/>
      <c r="ZW148" s="6"/>
      <c r="ZX148" s="6"/>
      <c r="ZY148" s="6"/>
      <c r="ZZ148" s="6"/>
      <c r="AAA148" s="6"/>
      <c r="AAB148" s="6"/>
      <c r="AAC148" s="6"/>
      <c r="AAD148" s="6"/>
      <c r="AAE148" s="6"/>
      <c r="AAF148" s="6"/>
      <c r="AAG148" s="6"/>
      <c r="AAH148" s="6"/>
      <c r="AAI148" s="6"/>
      <c r="AAJ148" s="6"/>
      <c r="AAK148" s="6"/>
      <c r="AAL148" s="6"/>
      <c r="AAM148" s="6"/>
      <c r="AAN148" s="6"/>
      <c r="AAO148" s="6"/>
      <c r="AAP148" s="6"/>
      <c r="AAQ148" s="6"/>
      <c r="AAR148" s="6"/>
      <c r="AAS148" s="6"/>
      <c r="AAT148" s="6"/>
      <c r="AAU148" s="6"/>
      <c r="AAV148" s="6"/>
      <c r="AAW148" s="6"/>
      <c r="AAX148" s="6"/>
      <c r="AAY148" s="6"/>
      <c r="AAZ148" s="6"/>
      <c r="ABA148" s="6"/>
      <c r="ABB148" s="6"/>
      <c r="ABC148" s="6"/>
      <c r="ABD148" s="6"/>
      <c r="ABE148" s="6"/>
      <c r="ABF148" s="6"/>
      <c r="ABG148" s="6"/>
      <c r="ABH148" s="6"/>
      <c r="ABI148" s="6"/>
      <c r="ABJ148" s="6"/>
      <c r="ABK148" s="6"/>
      <c r="ABL148" s="6"/>
      <c r="ABM148" s="6"/>
      <c r="ABN148" s="6"/>
      <c r="ABO148" s="6"/>
      <c r="ABP148" s="6"/>
      <c r="ABQ148" s="6"/>
      <c r="ABR148" s="6"/>
      <c r="ABS148" s="6"/>
      <c r="ABT148" s="6"/>
      <c r="ABU148" s="6"/>
      <c r="ABV148" s="6"/>
      <c r="ABW148" s="6"/>
      <c r="ABX148" s="6"/>
      <c r="ABY148" s="6"/>
      <c r="ABZ148" s="6"/>
      <c r="ACA148" s="6"/>
      <c r="ACB148" s="6"/>
      <c r="ACC148" s="6"/>
      <c r="ACD148" s="6"/>
      <c r="ACE148" s="6"/>
      <c r="ACF148" s="6"/>
      <c r="ACG148" s="6"/>
      <c r="ACH148" s="6"/>
      <c r="ACI148" s="6"/>
      <c r="ACJ148" s="6"/>
      <c r="ACK148" s="6"/>
      <c r="ACL148" s="6"/>
      <c r="ACM148" s="6"/>
      <c r="ACN148" s="6"/>
      <c r="ACO148" s="6"/>
      <c r="ACP148" s="6"/>
      <c r="ACQ148" s="6"/>
      <c r="ACR148" s="6"/>
      <c r="ACS148" s="6"/>
      <c r="ACT148" s="6"/>
      <c r="ACU148" s="6"/>
      <c r="ACV148" s="6"/>
      <c r="ACW148" s="6"/>
      <c r="ACX148" s="6"/>
      <c r="ACY148" s="6"/>
      <c r="ACZ148" s="6"/>
      <c r="ADA148" s="6"/>
      <c r="ADB148" s="6"/>
      <c r="ADC148" s="6"/>
      <c r="ADD148" s="6"/>
      <c r="ADE148" s="6"/>
      <c r="ADF148" s="6"/>
      <c r="ADG148" s="6"/>
      <c r="ADH148" s="6"/>
      <c r="ADI148" s="6"/>
      <c r="ADJ148" s="6"/>
    </row>
    <row r="149" spans="1:790" s="291" customFormat="1" x14ac:dyDescent="0.3">
      <c r="A149" s="399"/>
      <c r="B149" s="558"/>
      <c r="C149" s="366"/>
      <c r="D149" s="367"/>
      <c r="E149" s="367"/>
      <c r="F149" s="367"/>
      <c r="G149" s="427"/>
      <c r="H149" s="427"/>
      <c r="I149" s="369"/>
      <c r="J149" s="403"/>
      <c r="K149" s="363"/>
      <c r="L149" s="370"/>
      <c r="M149" s="490"/>
      <c r="N149" s="489" t="str">
        <f t="shared" si="138"/>
        <v/>
      </c>
      <c r="O149" s="308"/>
      <c r="Q149" s="497"/>
      <c r="R149" s="481"/>
      <c r="S149" s="514"/>
      <c r="T149" s="515" t="str">
        <f t="shared" ref="T149:T212" si="143">IF(S149&gt;0,S149*R149,"")</f>
        <v/>
      </c>
      <c r="U149" s="482" t="str">
        <f t="shared" ref="U149:U212" si="144">IF(R149&gt;0,R149,"")</f>
        <v/>
      </c>
      <c r="V149" s="514"/>
      <c r="W149" s="515" t="str">
        <f t="shared" ref="W149:W212" si="145">IF(V149&gt;0,V149*U149,"")</f>
        <v/>
      </c>
      <c r="X149" s="507"/>
      <c r="Y149" s="507"/>
      <c r="Z149" s="478"/>
      <c r="AA149" s="471"/>
      <c r="AB149" s="471"/>
      <c r="AC149" s="471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6"/>
      <c r="KZ149" s="6"/>
      <c r="LA149" s="6"/>
      <c r="LB149" s="6"/>
      <c r="LC149" s="6"/>
      <c r="LD149" s="6"/>
      <c r="LE149" s="6"/>
      <c r="LF149" s="6"/>
      <c r="LG149" s="6"/>
      <c r="LH149" s="6"/>
      <c r="LI149" s="6"/>
      <c r="LJ149" s="6"/>
      <c r="LK149" s="6"/>
      <c r="LL149" s="6"/>
      <c r="LM149" s="6"/>
      <c r="LN149" s="6"/>
      <c r="LO149" s="6"/>
      <c r="LP149" s="6"/>
      <c r="LQ149" s="6"/>
      <c r="LR149" s="6"/>
      <c r="LS149" s="6"/>
      <c r="LT149" s="6"/>
      <c r="LU149" s="6"/>
      <c r="LV149" s="6"/>
      <c r="LW149" s="6"/>
      <c r="LX149" s="6"/>
      <c r="LY149" s="6"/>
      <c r="LZ149" s="6"/>
      <c r="MA149" s="6"/>
      <c r="MB149" s="6"/>
      <c r="MC149" s="6"/>
      <c r="MD149" s="6"/>
      <c r="ME149" s="6"/>
      <c r="MF149" s="6"/>
      <c r="MG149" s="6"/>
      <c r="MH149" s="6"/>
      <c r="MI149" s="6"/>
      <c r="MJ149" s="6"/>
      <c r="MK149" s="6"/>
      <c r="ML149" s="6"/>
      <c r="MM149" s="6"/>
      <c r="MN149" s="6"/>
      <c r="MO149" s="6"/>
      <c r="MP149" s="6"/>
      <c r="MQ149" s="6"/>
      <c r="MR149" s="6"/>
      <c r="MS149" s="6"/>
      <c r="MT149" s="6"/>
      <c r="MU149" s="6"/>
      <c r="MV149" s="6"/>
      <c r="MW149" s="6"/>
      <c r="MX149" s="6"/>
      <c r="MY149" s="6"/>
      <c r="MZ149" s="6"/>
      <c r="NA149" s="6"/>
      <c r="NB149" s="6"/>
      <c r="NC149" s="6"/>
      <c r="ND149" s="6"/>
      <c r="NE149" s="6"/>
      <c r="NF149" s="6"/>
      <c r="NG149" s="6"/>
      <c r="NH149" s="6"/>
      <c r="NI149" s="6"/>
      <c r="NJ149" s="6"/>
      <c r="NK149" s="6"/>
      <c r="NL149" s="6"/>
      <c r="NM149" s="6"/>
      <c r="NN149" s="6"/>
      <c r="NO149" s="6"/>
      <c r="NP149" s="6"/>
      <c r="NQ149" s="6"/>
      <c r="NR149" s="6"/>
      <c r="NS149" s="6"/>
      <c r="NT149" s="6"/>
      <c r="NU149" s="6"/>
      <c r="NV149" s="6"/>
      <c r="NW149" s="6"/>
      <c r="NX149" s="6"/>
      <c r="NY149" s="6"/>
      <c r="NZ149" s="6"/>
      <c r="OA149" s="6"/>
      <c r="OB149" s="6"/>
      <c r="OC149" s="6"/>
      <c r="OD149" s="6"/>
      <c r="OE149" s="6"/>
      <c r="OF149" s="6"/>
      <c r="OG149" s="6"/>
      <c r="OH149" s="6"/>
      <c r="OI149" s="6"/>
      <c r="OJ149" s="6"/>
      <c r="OK149" s="6"/>
      <c r="OL149" s="6"/>
      <c r="OM149" s="6"/>
      <c r="ON149" s="6"/>
      <c r="OO149" s="6"/>
      <c r="OP149" s="6"/>
      <c r="OQ149" s="6"/>
      <c r="OR149" s="6"/>
      <c r="OS149" s="6"/>
      <c r="OT149" s="6"/>
      <c r="OU149" s="6"/>
      <c r="OV149" s="6"/>
      <c r="OW149" s="6"/>
      <c r="OX149" s="6"/>
      <c r="OY149" s="6"/>
      <c r="OZ149" s="6"/>
      <c r="PA149" s="6"/>
      <c r="PB149" s="6"/>
      <c r="PC149" s="6"/>
      <c r="PD149" s="6"/>
      <c r="PE149" s="6"/>
      <c r="PF149" s="6"/>
      <c r="PG149" s="6"/>
      <c r="PH149" s="6"/>
      <c r="PI149" s="6"/>
      <c r="PJ149" s="6"/>
      <c r="PK149" s="6"/>
      <c r="PL149" s="6"/>
      <c r="PM149" s="6"/>
      <c r="PN149" s="6"/>
      <c r="PO149" s="6"/>
      <c r="PP149" s="6"/>
      <c r="PQ149" s="6"/>
      <c r="PR149" s="6"/>
      <c r="PS149" s="6"/>
      <c r="PT149" s="6"/>
      <c r="PU149" s="6"/>
      <c r="PV149" s="6"/>
      <c r="PW149" s="6"/>
      <c r="PX149" s="6"/>
      <c r="PY149" s="6"/>
      <c r="PZ149" s="6"/>
      <c r="QA149" s="6"/>
      <c r="QB149" s="6"/>
      <c r="QC149" s="6"/>
      <c r="QD149" s="6"/>
      <c r="QE149" s="6"/>
      <c r="QF149" s="6"/>
      <c r="QG149" s="6"/>
      <c r="QH149" s="6"/>
      <c r="QI149" s="6"/>
      <c r="QJ149" s="6"/>
      <c r="QK149" s="6"/>
      <c r="QL149" s="6"/>
      <c r="QM149" s="6"/>
      <c r="QN149" s="6"/>
      <c r="QO149" s="6"/>
      <c r="QP149" s="6"/>
      <c r="QQ149" s="6"/>
      <c r="QR149" s="6"/>
      <c r="QS149" s="6"/>
      <c r="QT149" s="6"/>
      <c r="QU149" s="6"/>
      <c r="QV149" s="6"/>
      <c r="QW149" s="6"/>
      <c r="QX149" s="6"/>
      <c r="QY149" s="6"/>
      <c r="QZ149" s="6"/>
      <c r="RA149" s="6"/>
      <c r="RB149" s="6"/>
      <c r="RC149" s="6"/>
      <c r="RD149" s="6"/>
      <c r="RE149" s="6"/>
      <c r="RF149" s="6"/>
      <c r="RG149" s="6"/>
      <c r="RH149" s="6"/>
      <c r="RI149" s="6"/>
      <c r="RJ149" s="6"/>
      <c r="RK149" s="6"/>
      <c r="RL149" s="6"/>
      <c r="RM149" s="6"/>
      <c r="RN149" s="6"/>
      <c r="RO149" s="6"/>
      <c r="RP149" s="6"/>
      <c r="RQ149" s="6"/>
      <c r="RR149" s="6"/>
      <c r="RS149" s="6"/>
      <c r="RT149" s="6"/>
      <c r="RU149" s="6"/>
      <c r="RV149" s="6"/>
      <c r="RW149" s="6"/>
      <c r="RX149" s="6"/>
      <c r="RY149" s="6"/>
      <c r="RZ149" s="6"/>
      <c r="SA149" s="6"/>
      <c r="SB149" s="6"/>
      <c r="SC149" s="6"/>
      <c r="SD149" s="6"/>
      <c r="SE149" s="6"/>
      <c r="SF149" s="6"/>
      <c r="SG149" s="6"/>
      <c r="SH149" s="6"/>
      <c r="SI149" s="6"/>
      <c r="SJ149" s="6"/>
      <c r="SK149" s="6"/>
      <c r="SL149" s="6"/>
      <c r="SM149" s="6"/>
      <c r="SN149" s="6"/>
      <c r="SO149" s="6"/>
      <c r="SP149" s="6"/>
      <c r="SQ149" s="6"/>
      <c r="SR149" s="6"/>
      <c r="SS149" s="6"/>
      <c r="ST149" s="6"/>
      <c r="SU149" s="6"/>
      <c r="SV149" s="6"/>
      <c r="SW149" s="6"/>
      <c r="SX149" s="6"/>
      <c r="SY149" s="6"/>
      <c r="SZ149" s="6"/>
      <c r="TA149" s="6"/>
      <c r="TB149" s="6"/>
      <c r="TC149" s="6"/>
      <c r="TD149" s="6"/>
      <c r="TE149" s="6"/>
      <c r="TF149" s="6"/>
      <c r="TG149" s="6"/>
      <c r="TH149" s="6"/>
      <c r="TI149" s="6"/>
      <c r="TJ149" s="6"/>
      <c r="TK149" s="6"/>
      <c r="TL149" s="6"/>
      <c r="TM149" s="6"/>
      <c r="TN149" s="6"/>
      <c r="TO149" s="6"/>
      <c r="TP149" s="6"/>
      <c r="TQ149" s="6"/>
      <c r="TR149" s="6"/>
      <c r="TS149" s="6"/>
      <c r="TT149" s="6"/>
      <c r="TU149" s="6"/>
      <c r="TV149" s="6"/>
      <c r="TW149" s="6"/>
      <c r="TX149" s="6"/>
      <c r="TY149" s="6"/>
      <c r="TZ149" s="6"/>
      <c r="UA149" s="6"/>
      <c r="UB149" s="6"/>
      <c r="UC149" s="6"/>
      <c r="UD149" s="6"/>
      <c r="UE149" s="6"/>
      <c r="UF149" s="6"/>
      <c r="UG149" s="6"/>
      <c r="UH149" s="6"/>
      <c r="UI149" s="6"/>
      <c r="UJ149" s="6"/>
      <c r="UK149" s="6"/>
      <c r="UL149" s="6"/>
      <c r="UM149" s="6"/>
      <c r="UN149" s="6"/>
      <c r="UO149" s="6"/>
      <c r="UP149" s="6"/>
      <c r="UQ149" s="6"/>
      <c r="UR149" s="6"/>
      <c r="US149" s="6"/>
      <c r="UT149" s="6"/>
      <c r="UU149" s="6"/>
      <c r="UV149" s="6"/>
      <c r="UW149" s="6"/>
      <c r="UX149" s="6"/>
      <c r="UY149" s="6"/>
      <c r="UZ149" s="6"/>
      <c r="VA149" s="6"/>
      <c r="VB149" s="6"/>
      <c r="VC149" s="6"/>
      <c r="VD149" s="6"/>
      <c r="VE149" s="6"/>
      <c r="VF149" s="6"/>
      <c r="VG149" s="6"/>
      <c r="VH149" s="6"/>
      <c r="VI149" s="6"/>
      <c r="VJ149" s="6"/>
      <c r="VK149" s="6"/>
      <c r="VL149" s="6"/>
      <c r="VM149" s="6"/>
      <c r="VN149" s="6"/>
      <c r="VO149" s="6"/>
      <c r="VP149" s="6"/>
      <c r="VQ149" s="6"/>
      <c r="VR149" s="6"/>
      <c r="VS149" s="6"/>
      <c r="VT149" s="6"/>
      <c r="VU149" s="6"/>
      <c r="VV149" s="6"/>
      <c r="VW149" s="6"/>
      <c r="VX149" s="6"/>
      <c r="VY149" s="6"/>
      <c r="VZ149" s="6"/>
      <c r="WA149" s="6"/>
      <c r="WB149" s="6"/>
      <c r="WC149" s="6"/>
      <c r="WD149" s="6"/>
      <c r="WE149" s="6"/>
      <c r="WF149" s="6"/>
      <c r="WG149" s="6"/>
      <c r="WH149" s="6"/>
      <c r="WI149" s="6"/>
      <c r="WJ149" s="6"/>
      <c r="WK149" s="6"/>
      <c r="WL149" s="6"/>
      <c r="WM149" s="6"/>
      <c r="WN149" s="6"/>
      <c r="WO149" s="6"/>
      <c r="WP149" s="6"/>
      <c r="WQ149" s="6"/>
      <c r="WR149" s="6"/>
      <c r="WS149" s="6"/>
      <c r="WT149" s="6"/>
      <c r="WU149" s="6"/>
      <c r="WV149" s="6"/>
      <c r="WW149" s="6"/>
      <c r="WX149" s="6"/>
      <c r="WY149" s="6"/>
      <c r="WZ149" s="6"/>
      <c r="XA149" s="6"/>
      <c r="XB149" s="6"/>
      <c r="XC149" s="6"/>
      <c r="XD149" s="6"/>
      <c r="XE149" s="6"/>
      <c r="XF149" s="6"/>
      <c r="XG149" s="6"/>
      <c r="XH149" s="6"/>
      <c r="XI149" s="6"/>
      <c r="XJ149" s="6"/>
      <c r="XK149" s="6"/>
      <c r="XL149" s="6"/>
      <c r="XM149" s="6"/>
      <c r="XN149" s="6"/>
      <c r="XO149" s="6"/>
      <c r="XP149" s="6"/>
      <c r="XQ149" s="6"/>
      <c r="XR149" s="6"/>
      <c r="XS149" s="6"/>
      <c r="XT149" s="6"/>
      <c r="XU149" s="6"/>
      <c r="XV149" s="6"/>
      <c r="XW149" s="6"/>
      <c r="XX149" s="6"/>
      <c r="XY149" s="6"/>
      <c r="XZ149" s="6"/>
      <c r="YA149" s="6"/>
      <c r="YB149" s="6"/>
      <c r="YC149" s="6"/>
      <c r="YD149" s="6"/>
      <c r="YE149" s="6"/>
      <c r="YF149" s="6"/>
      <c r="YG149" s="6"/>
      <c r="YH149" s="6"/>
      <c r="YI149" s="6"/>
      <c r="YJ149" s="6"/>
      <c r="YK149" s="6"/>
      <c r="YL149" s="6"/>
      <c r="YM149" s="6"/>
      <c r="YN149" s="6"/>
      <c r="YO149" s="6"/>
      <c r="YP149" s="6"/>
      <c r="YQ149" s="6"/>
      <c r="YR149" s="6"/>
      <c r="YS149" s="6"/>
      <c r="YT149" s="6"/>
      <c r="YU149" s="6"/>
      <c r="YV149" s="6"/>
      <c r="YW149" s="6"/>
      <c r="YX149" s="6"/>
      <c r="YY149" s="6"/>
      <c r="YZ149" s="6"/>
      <c r="ZA149" s="6"/>
      <c r="ZB149" s="6"/>
      <c r="ZC149" s="6"/>
      <c r="ZD149" s="6"/>
      <c r="ZE149" s="6"/>
      <c r="ZF149" s="6"/>
      <c r="ZG149" s="6"/>
      <c r="ZH149" s="6"/>
      <c r="ZI149" s="6"/>
      <c r="ZJ149" s="6"/>
      <c r="ZK149" s="6"/>
      <c r="ZL149" s="6"/>
      <c r="ZM149" s="6"/>
      <c r="ZN149" s="6"/>
      <c r="ZO149" s="6"/>
      <c r="ZP149" s="6"/>
      <c r="ZQ149" s="6"/>
      <c r="ZR149" s="6"/>
      <c r="ZS149" s="6"/>
      <c r="ZT149" s="6"/>
      <c r="ZU149" s="6"/>
      <c r="ZV149" s="6"/>
      <c r="ZW149" s="6"/>
      <c r="ZX149" s="6"/>
      <c r="ZY149" s="6"/>
      <c r="ZZ149" s="6"/>
      <c r="AAA149" s="6"/>
      <c r="AAB149" s="6"/>
      <c r="AAC149" s="6"/>
      <c r="AAD149" s="6"/>
      <c r="AAE149" s="6"/>
      <c r="AAF149" s="6"/>
      <c r="AAG149" s="6"/>
      <c r="AAH149" s="6"/>
      <c r="AAI149" s="6"/>
      <c r="AAJ149" s="6"/>
      <c r="AAK149" s="6"/>
      <c r="AAL149" s="6"/>
      <c r="AAM149" s="6"/>
      <c r="AAN149" s="6"/>
      <c r="AAO149" s="6"/>
      <c r="AAP149" s="6"/>
      <c r="AAQ149" s="6"/>
      <c r="AAR149" s="6"/>
      <c r="AAS149" s="6"/>
      <c r="AAT149" s="6"/>
      <c r="AAU149" s="6"/>
      <c r="AAV149" s="6"/>
      <c r="AAW149" s="6"/>
      <c r="AAX149" s="6"/>
      <c r="AAY149" s="6"/>
      <c r="AAZ149" s="6"/>
      <c r="ABA149" s="6"/>
      <c r="ABB149" s="6"/>
      <c r="ABC149" s="6"/>
      <c r="ABD149" s="6"/>
      <c r="ABE149" s="6"/>
      <c r="ABF149" s="6"/>
      <c r="ABG149" s="6"/>
      <c r="ABH149" s="6"/>
      <c r="ABI149" s="6"/>
      <c r="ABJ149" s="6"/>
      <c r="ABK149" s="6"/>
      <c r="ABL149" s="6"/>
      <c r="ABM149" s="6"/>
      <c r="ABN149" s="6"/>
      <c r="ABO149" s="6"/>
      <c r="ABP149" s="6"/>
      <c r="ABQ149" s="6"/>
      <c r="ABR149" s="6"/>
      <c r="ABS149" s="6"/>
      <c r="ABT149" s="6"/>
      <c r="ABU149" s="6"/>
      <c r="ABV149" s="6"/>
      <c r="ABW149" s="6"/>
      <c r="ABX149" s="6"/>
      <c r="ABY149" s="6"/>
      <c r="ABZ149" s="6"/>
      <c r="ACA149" s="6"/>
      <c r="ACB149" s="6"/>
      <c r="ACC149" s="6"/>
      <c r="ACD149" s="6"/>
      <c r="ACE149" s="6"/>
      <c r="ACF149" s="6"/>
      <c r="ACG149" s="6"/>
      <c r="ACH149" s="6"/>
      <c r="ACI149" s="6"/>
      <c r="ACJ149" s="6"/>
      <c r="ACK149" s="6"/>
      <c r="ACL149" s="6"/>
      <c r="ACM149" s="6"/>
      <c r="ACN149" s="6"/>
      <c r="ACO149" s="6"/>
      <c r="ACP149" s="6"/>
      <c r="ACQ149" s="6"/>
      <c r="ACR149" s="6"/>
      <c r="ACS149" s="6"/>
      <c r="ACT149" s="6"/>
      <c r="ACU149" s="6"/>
      <c r="ACV149" s="6"/>
      <c r="ACW149" s="6"/>
      <c r="ACX149" s="6"/>
      <c r="ACY149" s="6"/>
      <c r="ACZ149" s="6"/>
      <c r="ADA149" s="6"/>
      <c r="ADB149" s="6"/>
      <c r="ADC149" s="6"/>
      <c r="ADD149" s="6"/>
      <c r="ADE149" s="6"/>
      <c r="ADF149" s="6"/>
      <c r="ADG149" s="6"/>
      <c r="ADH149" s="6"/>
      <c r="ADI149" s="6"/>
      <c r="ADJ149" s="6"/>
    </row>
    <row r="150" spans="1:790" s="291" customFormat="1" x14ac:dyDescent="0.3">
      <c r="A150" s="399"/>
      <c r="B150" s="558" t="s">
        <v>107</v>
      </c>
      <c r="C150" s="366"/>
      <c r="D150" s="367"/>
      <c r="E150" s="367"/>
      <c r="F150" s="367"/>
      <c r="G150" s="427"/>
      <c r="H150" s="427"/>
      <c r="I150" s="369"/>
      <c r="J150" s="403"/>
      <c r="K150" s="363"/>
      <c r="L150" s="370"/>
      <c r="M150" s="490"/>
      <c r="N150" s="489" t="str">
        <f t="shared" si="138"/>
        <v/>
      </c>
      <c r="O150" s="308"/>
      <c r="Q150" s="497"/>
      <c r="R150" s="481"/>
      <c r="S150" s="514"/>
      <c r="T150" s="515" t="str">
        <f t="shared" si="143"/>
        <v/>
      </c>
      <c r="U150" s="482" t="str">
        <f t="shared" si="144"/>
        <v/>
      </c>
      <c r="V150" s="514"/>
      <c r="W150" s="515" t="str">
        <f t="shared" si="145"/>
        <v/>
      </c>
      <c r="X150" s="507"/>
      <c r="Y150" s="507"/>
      <c r="Z150" s="478"/>
      <c r="AA150" s="471"/>
      <c r="AB150" s="471"/>
      <c r="AC150" s="471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6"/>
      <c r="KZ150" s="6"/>
      <c r="LA150" s="6"/>
      <c r="LB150" s="6"/>
      <c r="LC150" s="6"/>
      <c r="LD150" s="6"/>
      <c r="LE150" s="6"/>
      <c r="LF150" s="6"/>
      <c r="LG150" s="6"/>
      <c r="LH150" s="6"/>
      <c r="LI150" s="6"/>
      <c r="LJ150" s="6"/>
      <c r="LK150" s="6"/>
      <c r="LL150" s="6"/>
      <c r="LM150" s="6"/>
      <c r="LN150" s="6"/>
      <c r="LO150" s="6"/>
      <c r="LP150" s="6"/>
      <c r="LQ150" s="6"/>
      <c r="LR150" s="6"/>
      <c r="LS150" s="6"/>
      <c r="LT150" s="6"/>
      <c r="LU150" s="6"/>
      <c r="LV150" s="6"/>
      <c r="LW150" s="6"/>
      <c r="LX150" s="6"/>
      <c r="LY150" s="6"/>
      <c r="LZ150" s="6"/>
      <c r="MA150" s="6"/>
      <c r="MB150" s="6"/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6"/>
      <c r="MN150" s="6"/>
      <c r="MO150" s="6"/>
      <c r="MP150" s="6"/>
      <c r="MQ150" s="6"/>
      <c r="MR150" s="6"/>
      <c r="MS150" s="6"/>
      <c r="MT150" s="6"/>
      <c r="MU150" s="6"/>
      <c r="MV150" s="6"/>
      <c r="MW150" s="6"/>
      <c r="MX150" s="6"/>
      <c r="MY150" s="6"/>
      <c r="MZ150" s="6"/>
      <c r="NA150" s="6"/>
      <c r="NB150" s="6"/>
      <c r="NC150" s="6"/>
      <c r="ND150" s="6"/>
      <c r="NE150" s="6"/>
      <c r="NF150" s="6"/>
      <c r="NG150" s="6"/>
      <c r="NH150" s="6"/>
      <c r="NI150" s="6"/>
      <c r="NJ150" s="6"/>
      <c r="NK150" s="6"/>
      <c r="NL150" s="6"/>
      <c r="NM150" s="6"/>
      <c r="NN150" s="6"/>
      <c r="NO150" s="6"/>
      <c r="NP150" s="6"/>
      <c r="NQ150" s="6"/>
      <c r="NR150" s="6"/>
      <c r="NS150" s="6"/>
      <c r="NT150" s="6"/>
      <c r="NU150" s="6"/>
      <c r="NV150" s="6"/>
      <c r="NW150" s="6"/>
      <c r="NX150" s="6"/>
      <c r="NY150" s="6"/>
      <c r="NZ150" s="6"/>
      <c r="OA150" s="6"/>
      <c r="OB150" s="6"/>
      <c r="OC150" s="6"/>
      <c r="OD150" s="6"/>
      <c r="OE150" s="6"/>
      <c r="OF150" s="6"/>
      <c r="OG150" s="6"/>
      <c r="OH150" s="6"/>
      <c r="OI150" s="6"/>
      <c r="OJ150" s="6"/>
      <c r="OK150" s="6"/>
      <c r="OL150" s="6"/>
      <c r="OM150" s="6"/>
      <c r="ON150" s="6"/>
      <c r="OO150" s="6"/>
      <c r="OP150" s="6"/>
      <c r="OQ150" s="6"/>
      <c r="OR150" s="6"/>
      <c r="OS150" s="6"/>
      <c r="OT150" s="6"/>
      <c r="OU150" s="6"/>
      <c r="OV150" s="6"/>
      <c r="OW150" s="6"/>
      <c r="OX150" s="6"/>
      <c r="OY150" s="6"/>
      <c r="OZ150" s="6"/>
      <c r="PA150" s="6"/>
      <c r="PB150" s="6"/>
      <c r="PC150" s="6"/>
      <c r="PD150" s="6"/>
      <c r="PE150" s="6"/>
      <c r="PF150" s="6"/>
      <c r="PG150" s="6"/>
      <c r="PH150" s="6"/>
      <c r="PI150" s="6"/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6"/>
      <c r="PW150" s="6"/>
      <c r="PX150" s="6"/>
      <c r="PY150" s="6"/>
      <c r="PZ150" s="6"/>
      <c r="QA150" s="6"/>
      <c r="QB150" s="6"/>
      <c r="QC150" s="6"/>
      <c r="QD150" s="6"/>
      <c r="QE150" s="6"/>
      <c r="QF150" s="6"/>
      <c r="QG150" s="6"/>
      <c r="QH150" s="6"/>
      <c r="QI150" s="6"/>
      <c r="QJ150" s="6"/>
      <c r="QK150" s="6"/>
      <c r="QL150" s="6"/>
      <c r="QM150" s="6"/>
      <c r="QN150" s="6"/>
      <c r="QO150" s="6"/>
      <c r="QP150" s="6"/>
      <c r="QQ150" s="6"/>
      <c r="QR150" s="6"/>
      <c r="QS150" s="6"/>
      <c r="QT150" s="6"/>
      <c r="QU150" s="6"/>
      <c r="QV150" s="6"/>
      <c r="QW150" s="6"/>
      <c r="QX150" s="6"/>
      <c r="QY150" s="6"/>
      <c r="QZ150" s="6"/>
      <c r="RA150" s="6"/>
      <c r="RB150" s="6"/>
      <c r="RC150" s="6"/>
      <c r="RD150" s="6"/>
      <c r="RE150" s="6"/>
      <c r="RF150" s="6"/>
      <c r="RG150" s="6"/>
      <c r="RH150" s="6"/>
      <c r="RI150" s="6"/>
      <c r="RJ150" s="6"/>
      <c r="RK150" s="6"/>
      <c r="RL150" s="6"/>
      <c r="RM150" s="6"/>
      <c r="RN150" s="6"/>
      <c r="RO150" s="6"/>
      <c r="RP150" s="6"/>
      <c r="RQ150" s="6"/>
      <c r="RR150" s="6"/>
      <c r="RS150" s="6"/>
      <c r="RT150" s="6"/>
      <c r="RU150" s="6"/>
      <c r="RV150" s="6"/>
      <c r="RW150" s="6"/>
      <c r="RX150" s="6"/>
      <c r="RY150" s="6"/>
      <c r="RZ150" s="6"/>
      <c r="SA150" s="6"/>
      <c r="SB150" s="6"/>
      <c r="SC150" s="6"/>
      <c r="SD150" s="6"/>
      <c r="SE150" s="6"/>
      <c r="SF150" s="6"/>
      <c r="SG150" s="6"/>
      <c r="SH150" s="6"/>
      <c r="SI150" s="6"/>
      <c r="SJ150" s="6"/>
      <c r="SK150" s="6"/>
      <c r="SL150" s="6"/>
      <c r="SM150" s="6"/>
      <c r="SN150" s="6"/>
      <c r="SO150" s="6"/>
      <c r="SP150" s="6"/>
      <c r="SQ150" s="6"/>
      <c r="SR150" s="6"/>
      <c r="SS150" s="6"/>
      <c r="ST150" s="6"/>
      <c r="SU150" s="6"/>
      <c r="SV150" s="6"/>
      <c r="SW150" s="6"/>
      <c r="SX150" s="6"/>
      <c r="SY150" s="6"/>
      <c r="SZ150" s="6"/>
      <c r="TA150" s="6"/>
      <c r="TB150" s="6"/>
      <c r="TC150" s="6"/>
      <c r="TD150" s="6"/>
      <c r="TE150" s="6"/>
      <c r="TF150" s="6"/>
      <c r="TG150" s="6"/>
      <c r="TH150" s="6"/>
      <c r="TI150" s="6"/>
      <c r="TJ150" s="6"/>
      <c r="TK150" s="6"/>
      <c r="TL150" s="6"/>
      <c r="TM150" s="6"/>
      <c r="TN150" s="6"/>
      <c r="TO150" s="6"/>
      <c r="TP150" s="6"/>
      <c r="TQ150" s="6"/>
      <c r="TR150" s="6"/>
      <c r="TS150" s="6"/>
      <c r="TT150" s="6"/>
      <c r="TU150" s="6"/>
      <c r="TV150" s="6"/>
      <c r="TW150" s="6"/>
      <c r="TX150" s="6"/>
      <c r="TY150" s="6"/>
      <c r="TZ150" s="6"/>
      <c r="UA150" s="6"/>
      <c r="UB150" s="6"/>
      <c r="UC150" s="6"/>
      <c r="UD150" s="6"/>
      <c r="UE150" s="6"/>
      <c r="UF150" s="6"/>
      <c r="UG150" s="6"/>
      <c r="UH150" s="6"/>
      <c r="UI150" s="6"/>
      <c r="UJ150" s="6"/>
      <c r="UK150" s="6"/>
      <c r="UL150" s="6"/>
      <c r="UM150" s="6"/>
      <c r="UN150" s="6"/>
      <c r="UO150" s="6"/>
      <c r="UP150" s="6"/>
      <c r="UQ150" s="6"/>
      <c r="UR150" s="6"/>
      <c r="US150" s="6"/>
      <c r="UT150" s="6"/>
      <c r="UU150" s="6"/>
      <c r="UV150" s="6"/>
      <c r="UW150" s="6"/>
      <c r="UX150" s="6"/>
      <c r="UY150" s="6"/>
      <c r="UZ150" s="6"/>
      <c r="VA150" s="6"/>
      <c r="VB150" s="6"/>
      <c r="VC150" s="6"/>
      <c r="VD150" s="6"/>
      <c r="VE150" s="6"/>
      <c r="VF150" s="6"/>
      <c r="VG150" s="6"/>
      <c r="VH150" s="6"/>
      <c r="VI150" s="6"/>
      <c r="VJ150" s="6"/>
      <c r="VK150" s="6"/>
      <c r="VL150" s="6"/>
      <c r="VM150" s="6"/>
      <c r="VN150" s="6"/>
      <c r="VO150" s="6"/>
      <c r="VP150" s="6"/>
      <c r="VQ150" s="6"/>
      <c r="VR150" s="6"/>
      <c r="VS150" s="6"/>
      <c r="VT150" s="6"/>
      <c r="VU150" s="6"/>
      <c r="VV150" s="6"/>
      <c r="VW150" s="6"/>
      <c r="VX150" s="6"/>
      <c r="VY150" s="6"/>
      <c r="VZ150" s="6"/>
      <c r="WA150" s="6"/>
      <c r="WB150" s="6"/>
      <c r="WC150" s="6"/>
      <c r="WD150" s="6"/>
      <c r="WE150" s="6"/>
      <c r="WF150" s="6"/>
      <c r="WG150" s="6"/>
      <c r="WH150" s="6"/>
      <c r="WI150" s="6"/>
      <c r="WJ150" s="6"/>
      <c r="WK150" s="6"/>
      <c r="WL150" s="6"/>
      <c r="WM150" s="6"/>
      <c r="WN150" s="6"/>
      <c r="WO150" s="6"/>
      <c r="WP150" s="6"/>
      <c r="WQ150" s="6"/>
      <c r="WR150" s="6"/>
      <c r="WS150" s="6"/>
      <c r="WT150" s="6"/>
      <c r="WU150" s="6"/>
      <c r="WV150" s="6"/>
      <c r="WW150" s="6"/>
      <c r="WX150" s="6"/>
      <c r="WY150" s="6"/>
      <c r="WZ150" s="6"/>
      <c r="XA150" s="6"/>
      <c r="XB150" s="6"/>
      <c r="XC150" s="6"/>
      <c r="XD150" s="6"/>
      <c r="XE150" s="6"/>
      <c r="XF150" s="6"/>
      <c r="XG150" s="6"/>
      <c r="XH150" s="6"/>
      <c r="XI150" s="6"/>
      <c r="XJ150" s="6"/>
      <c r="XK150" s="6"/>
      <c r="XL150" s="6"/>
      <c r="XM150" s="6"/>
      <c r="XN150" s="6"/>
      <c r="XO150" s="6"/>
      <c r="XP150" s="6"/>
      <c r="XQ150" s="6"/>
      <c r="XR150" s="6"/>
      <c r="XS150" s="6"/>
      <c r="XT150" s="6"/>
      <c r="XU150" s="6"/>
      <c r="XV150" s="6"/>
      <c r="XW150" s="6"/>
      <c r="XX150" s="6"/>
      <c r="XY150" s="6"/>
      <c r="XZ150" s="6"/>
      <c r="YA150" s="6"/>
      <c r="YB150" s="6"/>
      <c r="YC150" s="6"/>
      <c r="YD150" s="6"/>
      <c r="YE150" s="6"/>
      <c r="YF150" s="6"/>
      <c r="YG150" s="6"/>
      <c r="YH150" s="6"/>
      <c r="YI150" s="6"/>
      <c r="YJ150" s="6"/>
      <c r="YK150" s="6"/>
      <c r="YL150" s="6"/>
      <c r="YM150" s="6"/>
      <c r="YN150" s="6"/>
      <c r="YO150" s="6"/>
      <c r="YP150" s="6"/>
      <c r="YQ150" s="6"/>
      <c r="YR150" s="6"/>
      <c r="YS150" s="6"/>
      <c r="YT150" s="6"/>
      <c r="YU150" s="6"/>
      <c r="YV150" s="6"/>
      <c r="YW150" s="6"/>
      <c r="YX150" s="6"/>
      <c r="YY150" s="6"/>
      <c r="YZ150" s="6"/>
      <c r="ZA150" s="6"/>
      <c r="ZB150" s="6"/>
      <c r="ZC150" s="6"/>
      <c r="ZD150" s="6"/>
      <c r="ZE150" s="6"/>
      <c r="ZF150" s="6"/>
      <c r="ZG150" s="6"/>
      <c r="ZH150" s="6"/>
      <c r="ZI150" s="6"/>
      <c r="ZJ150" s="6"/>
      <c r="ZK150" s="6"/>
      <c r="ZL150" s="6"/>
      <c r="ZM150" s="6"/>
      <c r="ZN150" s="6"/>
      <c r="ZO150" s="6"/>
      <c r="ZP150" s="6"/>
      <c r="ZQ150" s="6"/>
      <c r="ZR150" s="6"/>
      <c r="ZS150" s="6"/>
      <c r="ZT150" s="6"/>
      <c r="ZU150" s="6"/>
      <c r="ZV150" s="6"/>
      <c r="ZW150" s="6"/>
      <c r="ZX150" s="6"/>
      <c r="ZY150" s="6"/>
      <c r="ZZ150" s="6"/>
      <c r="AAA150" s="6"/>
      <c r="AAB150" s="6"/>
      <c r="AAC150" s="6"/>
      <c r="AAD150" s="6"/>
      <c r="AAE150" s="6"/>
      <c r="AAF150" s="6"/>
      <c r="AAG150" s="6"/>
      <c r="AAH150" s="6"/>
      <c r="AAI150" s="6"/>
      <c r="AAJ150" s="6"/>
      <c r="AAK150" s="6"/>
      <c r="AAL150" s="6"/>
      <c r="AAM150" s="6"/>
      <c r="AAN150" s="6"/>
      <c r="AAO150" s="6"/>
      <c r="AAP150" s="6"/>
      <c r="AAQ150" s="6"/>
      <c r="AAR150" s="6"/>
      <c r="AAS150" s="6"/>
      <c r="AAT150" s="6"/>
      <c r="AAU150" s="6"/>
      <c r="AAV150" s="6"/>
      <c r="AAW150" s="6"/>
      <c r="AAX150" s="6"/>
      <c r="AAY150" s="6"/>
      <c r="AAZ150" s="6"/>
      <c r="ABA150" s="6"/>
      <c r="ABB150" s="6"/>
      <c r="ABC150" s="6"/>
      <c r="ABD150" s="6"/>
      <c r="ABE150" s="6"/>
      <c r="ABF150" s="6"/>
      <c r="ABG150" s="6"/>
      <c r="ABH150" s="6"/>
      <c r="ABI150" s="6"/>
      <c r="ABJ150" s="6"/>
      <c r="ABK150" s="6"/>
      <c r="ABL150" s="6"/>
      <c r="ABM150" s="6"/>
      <c r="ABN150" s="6"/>
      <c r="ABO150" s="6"/>
      <c r="ABP150" s="6"/>
      <c r="ABQ150" s="6"/>
      <c r="ABR150" s="6"/>
      <c r="ABS150" s="6"/>
      <c r="ABT150" s="6"/>
      <c r="ABU150" s="6"/>
      <c r="ABV150" s="6"/>
      <c r="ABW150" s="6"/>
      <c r="ABX150" s="6"/>
      <c r="ABY150" s="6"/>
      <c r="ABZ150" s="6"/>
      <c r="ACA150" s="6"/>
      <c r="ACB150" s="6"/>
      <c r="ACC150" s="6"/>
      <c r="ACD150" s="6"/>
      <c r="ACE150" s="6"/>
      <c r="ACF150" s="6"/>
      <c r="ACG150" s="6"/>
      <c r="ACH150" s="6"/>
      <c r="ACI150" s="6"/>
      <c r="ACJ150" s="6"/>
      <c r="ACK150" s="6"/>
      <c r="ACL150" s="6"/>
      <c r="ACM150" s="6"/>
      <c r="ACN150" s="6"/>
      <c r="ACO150" s="6"/>
      <c r="ACP150" s="6"/>
      <c r="ACQ150" s="6"/>
      <c r="ACR150" s="6"/>
      <c r="ACS150" s="6"/>
      <c r="ACT150" s="6"/>
      <c r="ACU150" s="6"/>
      <c r="ACV150" s="6"/>
      <c r="ACW150" s="6"/>
      <c r="ACX150" s="6"/>
      <c r="ACY150" s="6"/>
      <c r="ACZ150" s="6"/>
      <c r="ADA150" s="6"/>
      <c r="ADB150" s="6"/>
      <c r="ADC150" s="6"/>
      <c r="ADD150" s="6"/>
      <c r="ADE150" s="6"/>
      <c r="ADF150" s="6"/>
      <c r="ADG150" s="6"/>
      <c r="ADH150" s="6"/>
      <c r="ADI150" s="6"/>
      <c r="ADJ150" s="6"/>
    </row>
    <row r="151" spans="1:790" s="291" customFormat="1" x14ac:dyDescent="0.3">
      <c r="A151" s="399"/>
      <c r="B151" s="571" t="s">
        <v>108</v>
      </c>
      <c r="C151" s="366"/>
      <c r="D151" s="367"/>
      <c r="E151" s="367"/>
      <c r="F151" s="362">
        <v>742</v>
      </c>
      <c r="G151" s="362">
        <v>0.1</v>
      </c>
      <c r="H151" s="362">
        <f>+PRODUCT(C151:G151)</f>
        <v>74.2</v>
      </c>
      <c r="I151" s="369" t="s">
        <v>22</v>
      </c>
      <c r="J151" s="362">
        <f>+PRODUCT(C151:G151)</f>
        <v>74.2</v>
      </c>
      <c r="K151" s="363">
        <v>152</v>
      </c>
      <c r="L151" s="370">
        <f t="shared" ref="L151" si="146">J151*K151</f>
        <v>11278.4</v>
      </c>
      <c r="M151" s="490">
        <f t="shared" ref="M151" si="147">K151*(100%-16.5%)</f>
        <v>126.91999999999999</v>
      </c>
      <c r="N151" s="489">
        <f t="shared" si="138"/>
        <v>9417.4639999999999</v>
      </c>
      <c r="O151" s="308"/>
      <c r="Q151" s="497"/>
      <c r="R151" s="481">
        <f t="shared" ref="R151:R211" si="148">IF(N151&gt;0,J151,"")</f>
        <v>74.2</v>
      </c>
      <c r="S151" s="514">
        <v>15</v>
      </c>
      <c r="T151" s="515">
        <f t="shared" si="143"/>
        <v>1113</v>
      </c>
      <c r="U151" s="482">
        <f t="shared" si="144"/>
        <v>74.2</v>
      </c>
      <c r="V151" s="524">
        <v>100</v>
      </c>
      <c r="W151" s="515">
        <f t="shared" si="145"/>
        <v>7420</v>
      </c>
      <c r="X151" s="507">
        <f t="shared" ref="X151" si="149">V151+S151</f>
        <v>115</v>
      </c>
      <c r="Y151" s="520">
        <f t="shared" ref="Y151" si="150">M151-X151</f>
        <v>11.919999999999987</v>
      </c>
      <c r="Z151" s="521">
        <f t="shared" ref="Z151" si="151">Y151/M151</f>
        <v>9.3917428301292058E-2</v>
      </c>
      <c r="AA151" s="471"/>
      <c r="AB151" s="471"/>
      <c r="AC151" s="471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6"/>
      <c r="KZ151" s="6"/>
      <c r="LA151" s="6"/>
      <c r="LB151" s="6"/>
      <c r="LC151" s="6"/>
      <c r="LD151" s="6"/>
      <c r="LE151" s="6"/>
      <c r="LF151" s="6"/>
      <c r="LG151" s="6"/>
      <c r="LH151" s="6"/>
      <c r="LI151" s="6"/>
      <c r="LJ151" s="6"/>
      <c r="LK151" s="6"/>
      <c r="LL151" s="6"/>
      <c r="LM151" s="6"/>
      <c r="LN151" s="6"/>
      <c r="LO151" s="6"/>
      <c r="LP151" s="6"/>
      <c r="LQ151" s="6"/>
      <c r="LR151" s="6"/>
      <c r="LS151" s="6"/>
      <c r="LT151" s="6"/>
      <c r="LU151" s="6"/>
      <c r="LV151" s="6"/>
      <c r="LW151" s="6"/>
      <c r="LX151" s="6"/>
      <c r="LY151" s="6"/>
      <c r="LZ151" s="6"/>
      <c r="MA151" s="6"/>
      <c r="MB151" s="6"/>
      <c r="MC151" s="6"/>
      <c r="MD151" s="6"/>
      <c r="ME151" s="6"/>
      <c r="MF151" s="6"/>
      <c r="MG151" s="6"/>
      <c r="MH151" s="6"/>
      <c r="MI151" s="6"/>
      <c r="MJ151" s="6"/>
      <c r="MK151" s="6"/>
      <c r="ML151" s="6"/>
      <c r="MM151" s="6"/>
      <c r="MN151" s="6"/>
      <c r="MO151" s="6"/>
      <c r="MP151" s="6"/>
      <c r="MQ151" s="6"/>
      <c r="MR151" s="6"/>
      <c r="MS151" s="6"/>
      <c r="MT151" s="6"/>
      <c r="MU151" s="6"/>
      <c r="MV151" s="6"/>
      <c r="MW151" s="6"/>
      <c r="MX151" s="6"/>
      <c r="MY151" s="6"/>
      <c r="MZ151" s="6"/>
      <c r="NA151" s="6"/>
      <c r="NB151" s="6"/>
      <c r="NC151" s="6"/>
      <c r="ND151" s="6"/>
      <c r="NE151" s="6"/>
      <c r="NF151" s="6"/>
      <c r="NG151" s="6"/>
      <c r="NH151" s="6"/>
      <c r="NI151" s="6"/>
      <c r="NJ151" s="6"/>
      <c r="NK151" s="6"/>
      <c r="NL151" s="6"/>
      <c r="NM151" s="6"/>
      <c r="NN151" s="6"/>
      <c r="NO151" s="6"/>
      <c r="NP151" s="6"/>
      <c r="NQ151" s="6"/>
      <c r="NR151" s="6"/>
      <c r="NS151" s="6"/>
      <c r="NT151" s="6"/>
      <c r="NU151" s="6"/>
      <c r="NV151" s="6"/>
      <c r="NW151" s="6"/>
      <c r="NX151" s="6"/>
      <c r="NY151" s="6"/>
      <c r="NZ151" s="6"/>
      <c r="OA151" s="6"/>
      <c r="OB151" s="6"/>
      <c r="OC151" s="6"/>
      <c r="OD151" s="6"/>
      <c r="OE151" s="6"/>
      <c r="OF151" s="6"/>
      <c r="OG151" s="6"/>
      <c r="OH151" s="6"/>
      <c r="OI151" s="6"/>
      <c r="OJ151" s="6"/>
      <c r="OK151" s="6"/>
      <c r="OL151" s="6"/>
      <c r="OM151" s="6"/>
      <c r="ON151" s="6"/>
      <c r="OO151" s="6"/>
      <c r="OP151" s="6"/>
      <c r="OQ151" s="6"/>
      <c r="OR151" s="6"/>
      <c r="OS151" s="6"/>
      <c r="OT151" s="6"/>
      <c r="OU151" s="6"/>
      <c r="OV151" s="6"/>
      <c r="OW151" s="6"/>
      <c r="OX151" s="6"/>
      <c r="OY151" s="6"/>
      <c r="OZ151" s="6"/>
      <c r="PA151" s="6"/>
      <c r="PB151" s="6"/>
      <c r="PC151" s="6"/>
      <c r="PD151" s="6"/>
      <c r="PE151" s="6"/>
      <c r="PF151" s="6"/>
      <c r="PG151" s="6"/>
      <c r="PH151" s="6"/>
      <c r="PI151" s="6"/>
      <c r="PJ151" s="6"/>
      <c r="PK151" s="6"/>
      <c r="PL151" s="6"/>
      <c r="PM151" s="6"/>
      <c r="PN151" s="6"/>
      <c r="PO151" s="6"/>
      <c r="PP151" s="6"/>
      <c r="PQ151" s="6"/>
      <c r="PR151" s="6"/>
      <c r="PS151" s="6"/>
      <c r="PT151" s="6"/>
      <c r="PU151" s="6"/>
      <c r="PV151" s="6"/>
      <c r="PW151" s="6"/>
      <c r="PX151" s="6"/>
      <c r="PY151" s="6"/>
      <c r="PZ151" s="6"/>
      <c r="QA151" s="6"/>
      <c r="QB151" s="6"/>
      <c r="QC151" s="6"/>
      <c r="QD151" s="6"/>
      <c r="QE151" s="6"/>
      <c r="QF151" s="6"/>
      <c r="QG151" s="6"/>
      <c r="QH151" s="6"/>
      <c r="QI151" s="6"/>
      <c r="QJ151" s="6"/>
      <c r="QK151" s="6"/>
      <c r="QL151" s="6"/>
      <c r="QM151" s="6"/>
      <c r="QN151" s="6"/>
      <c r="QO151" s="6"/>
      <c r="QP151" s="6"/>
      <c r="QQ151" s="6"/>
      <c r="QR151" s="6"/>
      <c r="QS151" s="6"/>
      <c r="QT151" s="6"/>
      <c r="QU151" s="6"/>
      <c r="QV151" s="6"/>
      <c r="QW151" s="6"/>
      <c r="QX151" s="6"/>
      <c r="QY151" s="6"/>
      <c r="QZ151" s="6"/>
      <c r="RA151" s="6"/>
      <c r="RB151" s="6"/>
      <c r="RC151" s="6"/>
      <c r="RD151" s="6"/>
      <c r="RE151" s="6"/>
      <c r="RF151" s="6"/>
      <c r="RG151" s="6"/>
      <c r="RH151" s="6"/>
      <c r="RI151" s="6"/>
      <c r="RJ151" s="6"/>
      <c r="RK151" s="6"/>
      <c r="RL151" s="6"/>
      <c r="RM151" s="6"/>
      <c r="RN151" s="6"/>
      <c r="RO151" s="6"/>
      <c r="RP151" s="6"/>
      <c r="RQ151" s="6"/>
      <c r="RR151" s="6"/>
      <c r="RS151" s="6"/>
      <c r="RT151" s="6"/>
      <c r="RU151" s="6"/>
      <c r="RV151" s="6"/>
      <c r="RW151" s="6"/>
      <c r="RX151" s="6"/>
      <c r="RY151" s="6"/>
      <c r="RZ151" s="6"/>
      <c r="SA151" s="6"/>
      <c r="SB151" s="6"/>
      <c r="SC151" s="6"/>
      <c r="SD151" s="6"/>
      <c r="SE151" s="6"/>
      <c r="SF151" s="6"/>
      <c r="SG151" s="6"/>
      <c r="SH151" s="6"/>
      <c r="SI151" s="6"/>
      <c r="SJ151" s="6"/>
      <c r="SK151" s="6"/>
      <c r="SL151" s="6"/>
      <c r="SM151" s="6"/>
      <c r="SN151" s="6"/>
      <c r="SO151" s="6"/>
      <c r="SP151" s="6"/>
      <c r="SQ151" s="6"/>
      <c r="SR151" s="6"/>
      <c r="SS151" s="6"/>
      <c r="ST151" s="6"/>
      <c r="SU151" s="6"/>
      <c r="SV151" s="6"/>
      <c r="SW151" s="6"/>
      <c r="SX151" s="6"/>
      <c r="SY151" s="6"/>
      <c r="SZ151" s="6"/>
      <c r="TA151" s="6"/>
      <c r="TB151" s="6"/>
      <c r="TC151" s="6"/>
      <c r="TD151" s="6"/>
      <c r="TE151" s="6"/>
      <c r="TF151" s="6"/>
      <c r="TG151" s="6"/>
      <c r="TH151" s="6"/>
      <c r="TI151" s="6"/>
      <c r="TJ151" s="6"/>
      <c r="TK151" s="6"/>
      <c r="TL151" s="6"/>
      <c r="TM151" s="6"/>
      <c r="TN151" s="6"/>
      <c r="TO151" s="6"/>
      <c r="TP151" s="6"/>
      <c r="TQ151" s="6"/>
      <c r="TR151" s="6"/>
      <c r="TS151" s="6"/>
      <c r="TT151" s="6"/>
      <c r="TU151" s="6"/>
      <c r="TV151" s="6"/>
      <c r="TW151" s="6"/>
      <c r="TX151" s="6"/>
      <c r="TY151" s="6"/>
      <c r="TZ151" s="6"/>
      <c r="UA151" s="6"/>
      <c r="UB151" s="6"/>
      <c r="UC151" s="6"/>
      <c r="UD151" s="6"/>
      <c r="UE151" s="6"/>
      <c r="UF151" s="6"/>
      <c r="UG151" s="6"/>
      <c r="UH151" s="6"/>
      <c r="UI151" s="6"/>
      <c r="UJ151" s="6"/>
      <c r="UK151" s="6"/>
      <c r="UL151" s="6"/>
      <c r="UM151" s="6"/>
      <c r="UN151" s="6"/>
      <c r="UO151" s="6"/>
      <c r="UP151" s="6"/>
      <c r="UQ151" s="6"/>
      <c r="UR151" s="6"/>
      <c r="US151" s="6"/>
      <c r="UT151" s="6"/>
      <c r="UU151" s="6"/>
      <c r="UV151" s="6"/>
      <c r="UW151" s="6"/>
      <c r="UX151" s="6"/>
      <c r="UY151" s="6"/>
      <c r="UZ151" s="6"/>
      <c r="VA151" s="6"/>
      <c r="VB151" s="6"/>
      <c r="VC151" s="6"/>
      <c r="VD151" s="6"/>
      <c r="VE151" s="6"/>
      <c r="VF151" s="6"/>
      <c r="VG151" s="6"/>
      <c r="VH151" s="6"/>
      <c r="VI151" s="6"/>
      <c r="VJ151" s="6"/>
      <c r="VK151" s="6"/>
      <c r="VL151" s="6"/>
      <c r="VM151" s="6"/>
      <c r="VN151" s="6"/>
      <c r="VO151" s="6"/>
      <c r="VP151" s="6"/>
      <c r="VQ151" s="6"/>
      <c r="VR151" s="6"/>
      <c r="VS151" s="6"/>
      <c r="VT151" s="6"/>
      <c r="VU151" s="6"/>
      <c r="VV151" s="6"/>
      <c r="VW151" s="6"/>
      <c r="VX151" s="6"/>
      <c r="VY151" s="6"/>
      <c r="VZ151" s="6"/>
      <c r="WA151" s="6"/>
      <c r="WB151" s="6"/>
      <c r="WC151" s="6"/>
      <c r="WD151" s="6"/>
      <c r="WE151" s="6"/>
      <c r="WF151" s="6"/>
      <c r="WG151" s="6"/>
      <c r="WH151" s="6"/>
      <c r="WI151" s="6"/>
      <c r="WJ151" s="6"/>
      <c r="WK151" s="6"/>
      <c r="WL151" s="6"/>
      <c r="WM151" s="6"/>
      <c r="WN151" s="6"/>
      <c r="WO151" s="6"/>
      <c r="WP151" s="6"/>
      <c r="WQ151" s="6"/>
      <c r="WR151" s="6"/>
      <c r="WS151" s="6"/>
      <c r="WT151" s="6"/>
      <c r="WU151" s="6"/>
      <c r="WV151" s="6"/>
      <c r="WW151" s="6"/>
      <c r="WX151" s="6"/>
      <c r="WY151" s="6"/>
      <c r="WZ151" s="6"/>
      <c r="XA151" s="6"/>
      <c r="XB151" s="6"/>
      <c r="XC151" s="6"/>
      <c r="XD151" s="6"/>
      <c r="XE151" s="6"/>
      <c r="XF151" s="6"/>
      <c r="XG151" s="6"/>
      <c r="XH151" s="6"/>
      <c r="XI151" s="6"/>
      <c r="XJ151" s="6"/>
      <c r="XK151" s="6"/>
      <c r="XL151" s="6"/>
      <c r="XM151" s="6"/>
      <c r="XN151" s="6"/>
      <c r="XO151" s="6"/>
      <c r="XP151" s="6"/>
      <c r="XQ151" s="6"/>
      <c r="XR151" s="6"/>
      <c r="XS151" s="6"/>
      <c r="XT151" s="6"/>
      <c r="XU151" s="6"/>
      <c r="XV151" s="6"/>
      <c r="XW151" s="6"/>
      <c r="XX151" s="6"/>
      <c r="XY151" s="6"/>
      <c r="XZ151" s="6"/>
      <c r="YA151" s="6"/>
      <c r="YB151" s="6"/>
      <c r="YC151" s="6"/>
      <c r="YD151" s="6"/>
      <c r="YE151" s="6"/>
      <c r="YF151" s="6"/>
      <c r="YG151" s="6"/>
      <c r="YH151" s="6"/>
      <c r="YI151" s="6"/>
      <c r="YJ151" s="6"/>
      <c r="YK151" s="6"/>
      <c r="YL151" s="6"/>
      <c r="YM151" s="6"/>
      <c r="YN151" s="6"/>
      <c r="YO151" s="6"/>
      <c r="YP151" s="6"/>
      <c r="YQ151" s="6"/>
      <c r="YR151" s="6"/>
      <c r="YS151" s="6"/>
      <c r="YT151" s="6"/>
      <c r="YU151" s="6"/>
      <c r="YV151" s="6"/>
      <c r="YW151" s="6"/>
      <c r="YX151" s="6"/>
      <c r="YY151" s="6"/>
      <c r="YZ151" s="6"/>
      <c r="ZA151" s="6"/>
      <c r="ZB151" s="6"/>
      <c r="ZC151" s="6"/>
      <c r="ZD151" s="6"/>
      <c r="ZE151" s="6"/>
      <c r="ZF151" s="6"/>
      <c r="ZG151" s="6"/>
      <c r="ZH151" s="6"/>
      <c r="ZI151" s="6"/>
      <c r="ZJ151" s="6"/>
      <c r="ZK151" s="6"/>
      <c r="ZL151" s="6"/>
      <c r="ZM151" s="6"/>
      <c r="ZN151" s="6"/>
      <c r="ZO151" s="6"/>
      <c r="ZP151" s="6"/>
      <c r="ZQ151" s="6"/>
      <c r="ZR151" s="6"/>
      <c r="ZS151" s="6"/>
      <c r="ZT151" s="6"/>
      <c r="ZU151" s="6"/>
      <c r="ZV151" s="6"/>
      <c r="ZW151" s="6"/>
      <c r="ZX151" s="6"/>
      <c r="ZY151" s="6"/>
      <c r="ZZ151" s="6"/>
      <c r="AAA151" s="6"/>
      <c r="AAB151" s="6"/>
      <c r="AAC151" s="6"/>
      <c r="AAD151" s="6"/>
      <c r="AAE151" s="6"/>
      <c r="AAF151" s="6"/>
      <c r="AAG151" s="6"/>
      <c r="AAH151" s="6"/>
      <c r="AAI151" s="6"/>
      <c r="AAJ151" s="6"/>
      <c r="AAK151" s="6"/>
      <c r="AAL151" s="6"/>
      <c r="AAM151" s="6"/>
      <c r="AAN151" s="6"/>
      <c r="AAO151" s="6"/>
      <c r="AAP151" s="6"/>
      <c r="AAQ151" s="6"/>
      <c r="AAR151" s="6"/>
      <c r="AAS151" s="6"/>
      <c r="AAT151" s="6"/>
      <c r="AAU151" s="6"/>
      <c r="AAV151" s="6"/>
      <c r="AAW151" s="6"/>
      <c r="AAX151" s="6"/>
      <c r="AAY151" s="6"/>
      <c r="AAZ151" s="6"/>
      <c r="ABA151" s="6"/>
      <c r="ABB151" s="6"/>
      <c r="ABC151" s="6"/>
      <c r="ABD151" s="6"/>
      <c r="ABE151" s="6"/>
      <c r="ABF151" s="6"/>
      <c r="ABG151" s="6"/>
      <c r="ABH151" s="6"/>
      <c r="ABI151" s="6"/>
      <c r="ABJ151" s="6"/>
      <c r="ABK151" s="6"/>
      <c r="ABL151" s="6"/>
      <c r="ABM151" s="6"/>
      <c r="ABN151" s="6"/>
      <c r="ABO151" s="6"/>
      <c r="ABP151" s="6"/>
      <c r="ABQ151" s="6"/>
      <c r="ABR151" s="6"/>
      <c r="ABS151" s="6"/>
      <c r="ABT151" s="6"/>
      <c r="ABU151" s="6"/>
      <c r="ABV151" s="6"/>
      <c r="ABW151" s="6"/>
      <c r="ABX151" s="6"/>
      <c r="ABY151" s="6"/>
      <c r="ABZ151" s="6"/>
      <c r="ACA151" s="6"/>
      <c r="ACB151" s="6"/>
      <c r="ACC151" s="6"/>
      <c r="ACD151" s="6"/>
      <c r="ACE151" s="6"/>
      <c r="ACF151" s="6"/>
      <c r="ACG151" s="6"/>
      <c r="ACH151" s="6"/>
      <c r="ACI151" s="6"/>
      <c r="ACJ151" s="6"/>
      <c r="ACK151" s="6"/>
      <c r="ACL151" s="6"/>
      <c r="ACM151" s="6"/>
      <c r="ACN151" s="6"/>
      <c r="ACO151" s="6"/>
      <c r="ACP151" s="6"/>
      <c r="ACQ151" s="6"/>
      <c r="ACR151" s="6"/>
      <c r="ACS151" s="6"/>
      <c r="ACT151" s="6"/>
      <c r="ACU151" s="6"/>
      <c r="ACV151" s="6"/>
      <c r="ACW151" s="6"/>
      <c r="ACX151" s="6"/>
      <c r="ACY151" s="6"/>
      <c r="ACZ151" s="6"/>
      <c r="ADA151" s="6"/>
      <c r="ADB151" s="6"/>
      <c r="ADC151" s="6"/>
      <c r="ADD151" s="6"/>
      <c r="ADE151" s="6"/>
      <c r="ADF151" s="6"/>
      <c r="ADG151" s="6"/>
      <c r="ADH151" s="6"/>
      <c r="ADI151" s="6"/>
      <c r="ADJ151" s="6"/>
    </row>
    <row r="152" spans="1:790" s="291" customFormat="1" x14ac:dyDescent="0.3">
      <c r="A152" s="399"/>
      <c r="B152" s="558"/>
      <c r="C152" s="366"/>
      <c r="D152" s="367"/>
      <c r="E152" s="367"/>
      <c r="F152" s="367"/>
      <c r="G152" s="427"/>
      <c r="H152" s="427"/>
      <c r="I152" s="369"/>
      <c r="J152" s="403"/>
      <c r="K152" s="363"/>
      <c r="L152" s="370"/>
      <c r="M152" s="490"/>
      <c r="N152" s="489" t="str">
        <f t="shared" si="138"/>
        <v/>
      </c>
      <c r="O152" s="308"/>
      <c r="Q152" s="497"/>
      <c r="R152" s="481"/>
      <c r="S152" s="514"/>
      <c r="T152" s="515" t="str">
        <f t="shared" si="143"/>
        <v/>
      </c>
      <c r="U152" s="482" t="str">
        <f t="shared" si="144"/>
        <v/>
      </c>
      <c r="V152" s="514"/>
      <c r="W152" s="515" t="str">
        <f t="shared" si="145"/>
        <v/>
      </c>
      <c r="X152" s="507"/>
      <c r="Y152" s="507"/>
      <c r="Z152" s="478"/>
      <c r="AA152" s="471"/>
      <c r="AB152" s="471"/>
      <c r="AC152" s="471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6"/>
      <c r="KZ152" s="6"/>
      <c r="LA152" s="6"/>
      <c r="LB152" s="6"/>
      <c r="LC152" s="6"/>
      <c r="LD152" s="6"/>
      <c r="LE152" s="6"/>
      <c r="LF152" s="6"/>
      <c r="LG152" s="6"/>
      <c r="LH152" s="6"/>
      <c r="LI152" s="6"/>
      <c r="LJ152" s="6"/>
      <c r="LK152" s="6"/>
      <c r="LL152" s="6"/>
      <c r="LM152" s="6"/>
      <c r="LN152" s="6"/>
      <c r="LO152" s="6"/>
      <c r="LP152" s="6"/>
      <c r="LQ152" s="6"/>
      <c r="LR152" s="6"/>
      <c r="LS152" s="6"/>
      <c r="LT152" s="6"/>
      <c r="LU152" s="6"/>
      <c r="LV152" s="6"/>
      <c r="LW152" s="6"/>
      <c r="LX152" s="6"/>
      <c r="LY152" s="6"/>
      <c r="LZ152" s="6"/>
      <c r="MA152" s="6"/>
      <c r="MB152" s="6"/>
      <c r="MC152" s="6"/>
      <c r="MD152" s="6"/>
      <c r="ME152" s="6"/>
      <c r="MF152" s="6"/>
      <c r="MG152" s="6"/>
      <c r="MH152" s="6"/>
      <c r="MI152" s="6"/>
      <c r="MJ152" s="6"/>
      <c r="MK152" s="6"/>
      <c r="ML152" s="6"/>
      <c r="MM152" s="6"/>
      <c r="MN152" s="6"/>
      <c r="MO152" s="6"/>
      <c r="MP152" s="6"/>
      <c r="MQ152" s="6"/>
      <c r="MR152" s="6"/>
      <c r="MS152" s="6"/>
      <c r="MT152" s="6"/>
      <c r="MU152" s="6"/>
      <c r="MV152" s="6"/>
      <c r="MW152" s="6"/>
      <c r="MX152" s="6"/>
      <c r="MY152" s="6"/>
      <c r="MZ152" s="6"/>
      <c r="NA152" s="6"/>
      <c r="NB152" s="6"/>
      <c r="NC152" s="6"/>
      <c r="ND152" s="6"/>
      <c r="NE152" s="6"/>
      <c r="NF152" s="6"/>
      <c r="NG152" s="6"/>
      <c r="NH152" s="6"/>
      <c r="NI152" s="6"/>
      <c r="NJ152" s="6"/>
      <c r="NK152" s="6"/>
      <c r="NL152" s="6"/>
      <c r="NM152" s="6"/>
      <c r="NN152" s="6"/>
      <c r="NO152" s="6"/>
      <c r="NP152" s="6"/>
      <c r="NQ152" s="6"/>
      <c r="NR152" s="6"/>
      <c r="NS152" s="6"/>
      <c r="NT152" s="6"/>
      <c r="NU152" s="6"/>
      <c r="NV152" s="6"/>
      <c r="NW152" s="6"/>
      <c r="NX152" s="6"/>
      <c r="NY152" s="6"/>
      <c r="NZ152" s="6"/>
      <c r="OA152" s="6"/>
      <c r="OB152" s="6"/>
      <c r="OC152" s="6"/>
      <c r="OD152" s="6"/>
      <c r="OE152" s="6"/>
      <c r="OF152" s="6"/>
      <c r="OG152" s="6"/>
      <c r="OH152" s="6"/>
      <c r="OI152" s="6"/>
      <c r="OJ152" s="6"/>
      <c r="OK152" s="6"/>
      <c r="OL152" s="6"/>
      <c r="OM152" s="6"/>
      <c r="ON152" s="6"/>
      <c r="OO152" s="6"/>
      <c r="OP152" s="6"/>
      <c r="OQ152" s="6"/>
      <c r="OR152" s="6"/>
      <c r="OS152" s="6"/>
      <c r="OT152" s="6"/>
      <c r="OU152" s="6"/>
      <c r="OV152" s="6"/>
      <c r="OW152" s="6"/>
      <c r="OX152" s="6"/>
      <c r="OY152" s="6"/>
      <c r="OZ152" s="6"/>
      <c r="PA152" s="6"/>
      <c r="PB152" s="6"/>
      <c r="PC152" s="6"/>
      <c r="PD152" s="6"/>
      <c r="PE152" s="6"/>
      <c r="PF152" s="6"/>
      <c r="PG152" s="6"/>
      <c r="PH152" s="6"/>
      <c r="PI152" s="6"/>
      <c r="PJ152" s="6"/>
      <c r="PK152" s="6"/>
      <c r="PL152" s="6"/>
      <c r="PM152" s="6"/>
      <c r="PN152" s="6"/>
      <c r="PO152" s="6"/>
      <c r="PP152" s="6"/>
      <c r="PQ152" s="6"/>
      <c r="PR152" s="6"/>
      <c r="PS152" s="6"/>
      <c r="PT152" s="6"/>
      <c r="PU152" s="6"/>
      <c r="PV152" s="6"/>
      <c r="PW152" s="6"/>
      <c r="PX152" s="6"/>
      <c r="PY152" s="6"/>
      <c r="PZ152" s="6"/>
      <c r="QA152" s="6"/>
      <c r="QB152" s="6"/>
      <c r="QC152" s="6"/>
      <c r="QD152" s="6"/>
      <c r="QE152" s="6"/>
      <c r="QF152" s="6"/>
      <c r="QG152" s="6"/>
      <c r="QH152" s="6"/>
      <c r="QI152" s="6"/>
      <c r="QJ152" s="6"/>
      <c r="QK152" s="6"/>
      <c r="QL152" s="6"/>
      <c r="QM152" s="6"/>
      <c r="QN152" s="6"/>
      <c r="QO152" s="6"/>
      <c r="QP152" s="6"/>
      <c r="QQ152" s="6"/>
      <c r="QR152" s="6"/>
      <c r="QS152" s="6"/>
      <c r="QT152" s="6"/>
      <c r="QU152" s="6"/>
      <c r="QV152" s="6"/>
      <c r="QW152" s="6"/>
      <c r="QX152" s="6"/>
      <c r="QY152" s="6"/>
      <c r="QZ152" s="6"/>
      <c r="RA152" s="6"/>
      <c r="RB152" s="6"/>
      <c r="RC152" s="6"/>
      <c r="RD152" s="6"/>
      <c r="RE152" s="6"/>
      <c r="RF152" s="6"/>
      <c r="RG152" s="6"/>
      <c r="RH152" s="6"/>
      <c r="RI152" s="6"/>
      <c r="RJ152" s="6"/>
      <c r="RK152" s="6"/>
      <c r="RL152" s="6"/>
      <c r="RM152" s="6"/>
      <c r="RN152" s="6"/>
      <c r="RO152" s="6"/>
      <c r="RP152" s="6"/>
      <c r="RQ152" s="6"/>
      <c r="RR152" s="6"/>
      <c r="RS152" s="6"/>
      <c r="RT152" s="6"/>
      <c r="RU152" s="6"/>
      <c r="RV152" s="6"/>
      <c r="RW152" s="6"/>
      <c r="RX152" s="6"/>
      <c r="RY152" s="6"/>
      <c r="RZ152" s="6"/>
      <c r="SA152" s="6"/>
      <c r="SB152" s="6"/>
      <c r="SC152" s="6"/>
      <c r="SD152" s="6"/>
      <c r="SE152" s="6"/>
      <c r="SF152" s="6"/>
      <c r="SG152" s="6"/>
      <c r="SH152" s="6"/>
      <c r="SI152" s="6"/>
      <c r="SJ152" s="6"/>
      <c r="SK152" s="6"/>
      <c r="SL152" s="6"/>
      <c r="SM152" s="6"/>
      <c r="SN152" s="6"/>
      <c r="SO152" s="6"/>
      <c r="SP152" s="6"/>
      <c r="SQ152" s="6"/>
      <c r="SR152" s="6"/>
      <c r="SS152" s="6"/>
      <c r="ST152" s="6"/>
      <c r="SU152" s="6"/>
      <c r="SV152" s="6"/>
      <c r="SW152" s="6"/>
      <c r="SX152" s="6"/>
      <c r="SY152" s="6"/>
      <c r="SZ152" s="6"/>
      <c r="TA152" s="6"/>
      <c r="TB152" s="6"/>
      <c r="TC152" s="6"/>
      <c r="TD152" s="6"/>
      <c r="TE152" s="6"/>
      <c r="TF152" s="6"/>
      <c r="TG152" s="6"/>
      <c r="TH152" s="6"/>
      <c r="TI152" s="6"/>
      <c r="TJ152" s="6"/>
      <c r="TK152" s="6"/>
      <c r="TL152" s="6"/>
      <c r="TM152" s="6"/>
      <c r="TN152" s="6"/>
      <c r="TO152" s="6"/>
      <c r="TP152" s="6"/>
      <c r="TQ152" s="6"/>
      <c r="TR152" s="6"/>
      <c r="TS152" s="6"/>
      <c r="TT152" s="6"/>
      <c r="TU152" s="6"/>
      <c r="TV152" s="6"/>
      <c r="TW152" s="6"/>
      <c r="TX152" s="6"/>
      <c r="TY152" s="6"/>
      <c r="TZ152" s="6"/>
      <c r="UA152" s="6"/>
      <c r="UB152" s="6"/>
      <c r="UC152" s="6"/>
      <c r="UD152" s="6"/>
      <c r="UE152" s="6"/>
      <c r="UF152" s="6"/>
      <c r="UG152" s="6"/>
      <c r="UH152" s="6"/>
      <c r="UI152" s="6"/>
      <c r="UJ152" s="6"/>
      <c r="UK152" s="6"/>
      <c r="UL152" s="6"/>
      <c r="UM152" s="6"/>
      <c r="UN152" s="6"/>
      <c r="UO152" s="6"/>
      <c r="UP152" s="6"/>
      <c r="UQ152" s="6"/>
      <c r="UR152" s="6"/>
      <c r="US152" s="6"/>
      <c r="UT152" s="6"/>
      <c r="UU152" s="6"/>
      <c r="UV152" s="6"/>
      <c r="UW152" s="6"/>
      <c r="UX152" s="6"/>
      <c r="UY152" s="6"/>
      <c r="UZ152" s="6"/>
      <c r="VA152" s="6"/>
      <c r="VB152" s="6"/>
      <c r="VC152" s="6"/>
      <c r="VD152" s="6"/>
      <c r="VE152" s="6"/>
      <c r="VF152" s="6"/>
      <c r="VG152" s="6"/>
      <c r="VH152" s="6"/>
      <c r="VI152" s="6"/>
      <c r="VJ152" s="6"/>
      <c r="VK152" s="6"/>
      <c r="VL152" s="6"/>
      <c r="VM152" s="6"/>
      <c r="VN152" s="6"/>
      <c r="VO152" s="6"/>
      <c r="VP152" s="6"/>
      <c r="VQ152" s="6"/>
      <c r="VR152" s="6"/>
      <c r="VS152" s="6"/>
      <c r="VT152" s="6"/>
      <c r="VU152" s="6"/>
      <c r="VV152" s="6"/>
      <c r="VW152" s="6"/>
      <c r="VX152" s="6"/>
      <c r="VY152" s="6"/>
      <c r="VZ152" s="6"/>
      <c r="WA152" s="6"/>
      <c r="WB152" s="6"/>
      <c r="WC152" s="6"/>
      <c r="WD152" s="6"/>
      <c r="WE152" s="6"/>
      <c r="WF152" s="6"/>
      <c r="WG152" s="6"/>
      <c r="WH152" s="6"/>
      <c r="WI152" s="6"/>
      <c r="WJ152" s="6"/>
      <c r="WK152" s="6"/>
      <c r="WL152" s="6"/>
      <c r="WM152" s="6"/>
      <c r="WN152" s="6"/>
      <c r="WO152" s="6"/>
      <c r="WP152" s="6"/>
      <c r="WQ152" s="6"/>
      <c r="WR152" s="6"/>
      <c r="WS152" s="6"/>
      <c r="WT152" s="6"/>
      <c r="WU152" s="6"/>
      <c r="WV152" s="6"/>
      <c r="WW152" s="6"/>
      <c r="WX152" s="6"/>
      <c r="WY152" s="6"/>
      <c r="WZ152" s="6"/>
      <c r="XA152" s="6"/>
      <c r="XB152" s="6"/>
      <c r="XC152" s="6"/>
      <c r="XD152" s="6"/>
      <c r="XE152" s="6"/>
      <c r="XF152" s="6"/>
      <c r="XG152" s="6"/>
      <c r="XH152" s="6"/>
      <c r="XI152" s="6"/>
      <c r="XJ152" s="6"/>
      <c r="XK152" s="6"/>
      <c r="XL152" s="6"/>
      <c r="XM152" s="6"/>
      <c r="XN152" s="6"/>
      <c r="XO152" s="6"/>
      <c r="XP152" s="6"/>
      <c r="XQ152" s="6"/>
      <c r="XR152" s="6"/>
      <c r="XS152" s="6"/>
      <c r="XT152" s="6"/>
      <c r="XU152" s="6"/>
      <c r="XV152" s="6"/>
      <c r="XW152" s="6"/>
      <c r="XX152" s="6"/>
      <c r="XY152" s="6"/>
      <c r="XZ152" s="6"/>
      <c r="YA152" s="6"/>
      <c r="YB152" s="6"/>
      <c r="YC152" s="6"/>
      <c r="YD152" s="6"/>
      <c r="YE152" s="6"/>
      <c r="YF152" s="6"/>
      <c r="YG152" s="6"/>
      <c r="YH152" s="6"/>
      <c r="YI152" s="6"/>
      <c r="YJ152" s="6"/>
      <c r="YK152" s="6"/>
      <c r="YL152" s="6"/>
      <c r="YM152" s="6"/>
      <c r="YN152" s="6"/>
      <c r="YO152" s="6"/>
      <c r="YP152" s="6"/>
      <c r="YQ152" s="6"/>
      <c r="YR152" s="6"/>
      <c r="YS152" s="6"/>
      <c r="YT152" s="6"/>
      <c r="YU152" s="6"/>
      <c r="YV152" s="6"/>
      <c r="YW152" s="6"/>
      <c r="YX152" s="6"/>
      <c r="YY152" s="6"/>
      <c r="YZ152" s="6"/>
      <c r="ZA152" s="6"/>
      <c r="ZB152" s="6"/>
      <c r="ZC152" s="6"/>
      <c r="ZD152" s="6"/>
      <c r="ZE152" s="6"/>
      <c r="ZF152" s="6"/>
      <c r="ZG152" s="6"/>
      <c r="ZH152" s="6"/>
      <c r="ZI152" s="6"/>
      <c r="ZJ152" s="6"/>
      <c r="ZK152" s="6"/>
      <c r="ZL152" s="6"/>
      <c r="ZM152" s="6"/>
      <c r="ZN152" s="6"/>
      <c r="ZO152" s="6"/>
      <c r="ZP152" s="6"/>
      <c r="ZQ152" s="6"/>
      <c r="ZR152" s="6"/>
      <c r="ZS152" s="6"/>
      <c r="ZT152" s="6"/>
      <c r="ZU152" s="6"/>
      <c r="ZV152" s="6"/>
      <c r="ZW152" s="6"/>
      <c r="ZX152" s="6"/>
      <c r="ZY152" s="6"/>
      <c r="ZZ152" s="6"/>
      <c r="AAA152" s="6"/>
      <c r="AAB152" s="6"/>
      <c r="AAC152" s="6"/>
      <c r="AAD152" s="6"/>
      <c r="AAE152" s="6"/>
      <c r="AAF152" s="6"/>
      <c r="AAG152" s="6"/>
      <c r="AAH152" s="6"/>
      <c r="AAI152" s="6"/>
      <c r="AAJ152" s="6"/>
      <c r="AAK152" s="6"/>
      <c r="AAL152" s="6"/>
      <c r="AAM152" s="6"/>
      <c r="AAN152" s="6"/>
      <c r="AAO152" s="6"/>
      <c r="AAP152" s="6"/>
      <c r="AAQ152" s="6"/>
      <c r="AAR152" s="6"/>
      <c r="AAS152" s="6"/>
      <c r="AAT152" s="6"/>
      <c r="AAU152" s="6"/>
      <c r="AAV152" s="6"/>
      <c r="AAW152" s="6"/>
      <c r="AAX152" s="6"/>
      <c r="AAY152" s="6"/>
      <c r="AAZ152" s="6"/>
      <c r="ABA152" s="6"/>
      <c r="ABB152" s="6"/>
      <c r="ABC152" s="6"/>
      <c r="ABD152" s="6"/>
      <c r="ABE152" s="6"/>
      <c r="ABF152" s="6"/>
      <c r="ABG152" s="6"/>
      <c r="ABH152" s="6"/>
      <c r="ABI152" s="6"/>
      <c r="ABJ152" s="6"/>
      <c r="ABK152" s="6"/>
      <c r="ABL152" s="6"/>
      <c r="ABM152" s="6"/>
      <c r="ABN152" s="6"/>
      <c r="ABO152" s="6"/>
      <c r="ABP152" s="6"/>
      <c r="ABQ152" s="6"/>
      <c r="ABR152" s="6"/>
      <c r="ABS152" s="6"/>
      <c r="ABT152" s="6"/>
      <c r="ABU152" s="6"/>
      <c r="ABV152" s="6"/>
      <c r="ABW152" s="6"/>
      <c r="ABX152" s="6"/>
      <c r="ABY152" s="6"/>
      <c r="ABZ152" s="6"/>
      <c r="ACA152" s="6"/>
      <c r="ACB152" s="6"/>
      <c r="ACC152" s="6"/>
      <c r="ACD152" s="6"/>
      <c r="ACE152" s="6"/>
      <c r="ACF152" s="6"/>
      <c r="ACG152" s="6"/>
      <c r="ACH152" s="6"/>
      <c r="ACI152" s="6"/>
      <c r="ACJ152" s="6"/>
      <c r="ACK152" s="6"/>
      <c r="ACL152" s="6"/>
      <c r="ACM152" s="6"/>
      <c r="ACN152" s="6"/>
      <c r="ACO152" s="6"/>
      <c r="ACP152" s="6"/>
      <c r="ACQ152" s="6"/>
      <c r="ACR152" s="6"/>
      <c r="ACS152" s="6"/>
      <c r="ACT152" s="6"/>
      <c r="ACU152" s="6"/>
      <c r="ACV152" s="6"/>
      <c r="ACW152" s="6"/>
      <c r="ACX152" s="6"/>
      <c r="ACY152" s="6"/>
      <c r="ACZ152" s="6"/>
      <c r="ADA152" s="6"/>
      <c r="ADB152" s="6"/>
      <c r="ADC152" s="6"/>
      <c r="ADD152" s="6"/>
      <c r="ADE152" s="6"/>
      <c r="ADF152" s="6"/>
      <c r="ADG152" s="6"/>
      <c r="ADH152" s="6"/>
      <c r="ADI152" s="6"/>
      <c r="ADJ152" s="6"/>
    </row>
    <row r="153" spans="1:790" s="291" customFormat="1" x14ac:dyDescent="0.3">
      <c r="A153" s="399"/>
      <c r="B153" s="558" t="s">
        <v>109</v>
      </c>
      <c r="C153" s="366"/>
      <c r="D153" s="367"/>
      <c r="E153" s="367"/>
      <c r="F153" s="367"/>
      <c r="G153" s="427"/>
      <c r="H153" s="427"/>
      <c r="I153" s="369"/>
      <c r="J153" s="403"/>
      <c r="K153" s="363"/>
      <c r="L153" s="370"/>
      <c r="M153" s="490"/>
      <c r="N153" s="489" t="str">
        <f t="shared" si="138"/>
        <v/>
      </c>
      <c r="O153" s="308"/>
      <c r="Q153" s="497"/>
      <c r="R153" s="481"/>
      <c r="S153" s="514"/>
      <c r="T153" s="515" t="str">
        <f t="shared" si="143"/>
        <v/>
      </c>
      <c r="U153" s="482" t="str">
        <f t="shared" si="144"/>
        <v/>
      </c>
      <c r="V153" s="514"/>
      <c r="W153" s="515" t="str">
        <f t="shared" si="145"/>
        <v/>
      </c>
      <c r="X153" s="507"/>
      <c r="Y153" s="507"/>
      <c r="Z153" s="478"/>
      <c r="AA153" s="471"/>
      <c r="AB153" s="471"/>
      <c r="AC153" s="471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  <c r="IR153" s="6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6"/>
      <c r="KZ153" s="6"/>
      <c r="LA153" s="6"/>
      <c r="LB153" s="6"/>
      <c r="LC153" s="6"/>
      <c r="LD153" s="6"/>
      <c r="LE153" s="6"/>
      <c r="LF153" s="6"/>
      <c r="LG153" s="6"/>
      <c r="LH153" s="6"/>
      <c r="LI153" s="6"/>
      <c r="LJ153" s="6"/>
      <c r="LK153" s="6"/>
      <c r="LL153" s="6"/>
      <c r="LM153" s="6"/>
      <c r="LN153" s="6"/>
      <c r="LO153" s="6"/>
      <c r="LP153" s="6"/>
      <c r="LQ153" s="6"/>
      <c r="LR153" s="6"/>
      <c r="LS153" s="6"/>
      <c r="LT153" s="6"/>
      <c r="LU153" s="6"/>
      <c r="LV153" s="6"/>
      <c r="LW153" s="6"/>
      <c r="LX153" s="6"/>
      <c r="LY153" s="6"/>
      <c r="LZ153" s="6"/>
      <c r="MA153" s="6"/>
      <c r="MB153" s="6"/>
      <c r="MC153" s="6"/>
      <c r="MD153" s="6"/>
      <c r="ME153" s="6"/>
      <c r="MF153" s="6"/>
      <c r="MG153" s="6"/>
      <c r="MH153" s="6"/>
      <c r="MI153" s="6"/>
      <c r="MJ153" s="6"/>
      <c r="MK153" s="6"/>
      <c r="ML153" s="6"/>
      <c r="MM153" s="6"/>
      <c r="MN153" s="6"/>
      <c r="MO153" s="6"/>
      <c r="MP153" s="6"/>
      <c r="MQ153" s="6"/>
      <c r="MR153" s="6"/>
      <c r="MS153" s="6"/>
      <c r="MT153" s="6"/>
      <c r="MU153" s="6"/>
      <c r="MV153" s="6"/>
      <c r="MW153" s="6"/>
      <c r="MX153" s="6"/>
      <c r="MY153" s="6"/>
      <c r="MZ153" s="6"/>
      <c r="NA153" s="6"/>
      <c r="NB153" s="6"/>
      <c r="NC153" s="6"/>
      <c r="ND153" s="6"/>
      <c r="NE153" s="6"/>
      <c r="NF153" s="6"/>
      <c r="NG153" s="6"/>
      <c r="NH153" s="6"/>
      <c r="NI153" s="6"/>
      <c r="NJ153" s="6"/>
      <c r="NK153" s="6"/>
      <c r="NL153" s="6"/>
      <c r="NM153" s="6"/>
      <c r="NN153" s="6"/>
      <c r="NO153" s="6"/>
      <c r="NP153" s="6"/>
      <c r="NQ153" s="6"/>
      <c r="NR153" s="6"/>
      <c r="NS153" s="6"/>
      <c r="NT153" s="6"/>
      <c r="NU153" s="6"/>
      <c r="NV153" s="6"/>
      <c r="NW153" s="6"/>
      <c r="NX153" s="6"/>
      <c r="NY153" s="6"/>
      <c r="NZ153" s="6"/>
      <c r="OA153" s="6"/>
      <c r="OB153" s="6"/>
      <c r="OC153" s="6"/>
      <c r="OD153" s="6"/>
      <c r="OE153" s="6"/>
      <c r="OF153" s="6"/>
      <c r="OG153" s="6"/>
      <c r="OH153" s="6"/>
      <c r="OI153" s="6"/>
      <c r="OJ153" s="6"/>
      <c r="OK153" s="6"/>
      <c r="OL153" s="6"/>
      <c r="OM153" s="6"/>
      <c r="ON153" s="6"/>
      <c r="OO153" s="6"/>
      <c r="OP153" s="6"/>
      <c r="OQ153" s="6"/>
      <c r="OR153" s="6"/>
      <c r="OS153" s="6"/>
      <c r="OT153" s="6"/>
      <c r="OU153" s="6"/>
      <c r="OV153" s="6"/>
      <c r="OW153" s="6"/>
      <c r="OX153" s="6"/>
      <c r="OY153" s="6"/>
      <c r="OZ153" s="6"/>
      <c r="PA153" s="6"/>
      <c r="PB153" s="6"/>
      <c r="PC153" s="6"/>
      <c r="PD153" s="6"/>
      <c r="PE153" s="6"/>
      <c r="PF153" s="6"/>
      <c r="PG153" s="6"/>
      <c r="PH153" s="6"/>
      <c r="PI153" s="6"/>
      <c r="PJ153" s="6"/>
      <c r="PK153" s="6"/>
      <c r="PL153" s="6"/>
      <c r="PM153" s="6"/>
      <c r="PN153" s="6"/>
      <c r="PO153" s="6"/>
      <c r="PP153" s="6"/>
      <c r="PQ153" s="6"/>
      <c r="PR153" s="6"/>
      <c r="PS153" s="6"/>
      <c r="PT153" s="6"/>
      <c r="PU153" s="6"/>
      <c r="PV153" s="6"/>
      <c r="PW153" s="6"/>
      <c r="PX153" s="6"/>
      <c r="PY153" s="6"/>
      <c r="PZ153" s="6"/>
      <c r="QA153" s="6"/>
      <c r="QB153" s="6"/>
      <c r="QC153" s="6"/>
      <c r="QD153" s="6"/>
      <c r="QE153" s="6"/>
      <c r="QF153" s="6"/>
      <c r="QG153" s="6"/>
      <c r="QH153" s="6"/>
      <c r="QI153" s="6"/>
      <c r="QJ153" s="6"/>
      <c r="QK153" s="6"/>
      <c r="QL153" s="6"/>
      <c r="QM153" s="6"/>
      <c r="QN153" s="6"/>
      <c r="QO153" s="6"/>
      <c r="QP153" s="6"/>
      <c r="QQ153" s="6"/>
      <c r="QR153" s="6"/>
      <c r="QS153" s="6"/>
      <c r="QT153" s="6"/>
      <c r="QU153" s="6"/>
      <c r="QV153" s="6"/>
      <c r="QW153" s="6"/>
      <c r="QX153" s="6"/>
      <c r="QY153" s="6"/>
      <c r="QZ153" s="6"/>
      <c r="RA153" s="6"/>
      <c r="RB153" s="6"/>
      <c r="RC153" s="6"/>
      <c r="RD153" s="6"/>
      <c r="RE153" s="6"/>
      <c r="RF153" s="6"/>
      <c r="RG153" s="6"/>
      <c r="RH153" s="6"/>
      <c r="RI153" s="6"/>
      <c r="RJ153" s="6"/>
      <c r="RK153" s="6"/>
      <c r="RL153" s="6"/>
      <c r="RM153" s="6"/>
      <c r="RN153" s="6"/>
      <c r="RO153" s="6"/>
      <c r="RP153" s="6"/>
      <c r="RQ153" s="6"/>
      <c r="RR153" s="6"/>
      <c r="RS153" s="6"/>
      <c r="RT153" s="6"/>
      <c r="RU153" s="6"/>
      <c r="RV153" s="6"/>
      <c r="RW153" s="6"/>
      <c r="RX153" s="6"/>
      <c r="RY153" s="6"/>
      <c r="RZ153" s="6"/>
      <c r="SA153" s="6"/>
      <c r="SB153" s="6"/>
      <c r="SC153" s="6"/>
      <c r="SD153" s="6"/>
      <c r="SE153" s="6"/>
      <c r="SF153" s="6"/>
      <c r="SG153" s="6"/>
      <c r="SH153" s="6"/>
      <c r="SI153" s="6"/>
      <c r="SJ153" s="6"/>
      <c r="SK153" s="6"/>
      <c r="SL153" s="6"/>
      <c r="SM153" s="6"/>
      <c r="SN153" s="6"/>
      <c r="SO153" s="6"/>
      <c r="SP153" s="6"/>
      <c r="SQ153" s="6"/>
      <c r="SR153" s="6"/>
      <c r="SS153" s="6"/>
      <c r="ST153" s="6"/>
      <c r="SU153" s="6"/>
      <c r="SV153" s="6"/>
      <c r="SW153" s="6"/>
      <c r="SX153" s="6"/>
      <c r="SY153" s="6"/>
      <c r="SZ153" s="6"/>
      <c r="TA153" s="6"/>
      <c r="TB153" s="6"/>
      <c r="TC153" s="6"/>
      <c r="TD153" s="6"/>
      <c r="TE153" s="6"/>
      <c r="TF153" s="6"/>
      <c r="TG153" s="6"/>
      <c r="TH153" s="6"/>
      <c r="TI153" s="6"/>
      <c r="TJ153" s="6"/>
      <c r="TK153" s="6"/>
      <c r="TL153" s="6"/>
      <c r="TM153" s="6"/>
      <c r="TN153" s="6"/>
      <c r="TO153" s="6"/>
      <c r="TP153" s="6"/>
      <c r="TQ153" s="6"/>
      <c r="TR153" s="6"/>
      <c r="TS153" s="6"/>
      <c r="TT153" s="6"/>
      <c r="TU153" s="6"/>
      <c r="TV153" s="6"/>
      <c r="TW153" s="6"/>
      <c r="TX153" s="6"/>
      <c r="TY153" s="6"/>
      <c r="TZ153" s="6"/>
      <c r="UA153" s="6"/>
      <c r="UB153" s="6"/>
      <c r="UC153" s="6"/>
      <c r="UD153" s="6"/>
      <c r="UE153" s="6"/>
      <c r="UF153" s="6"/>
      <c r="UG153" s="6"/>
      <c r="UH153" s="6"/>
      <c r="UI153" s="6"/>
      <c r="UJ153" s="6"/>
      <c r="UK153" s="6"/>
      <c r="UL153" s="6"/>
      <c r="UM153" s="6"/>
      <c r="UN153" s="6"/>
      <c r="UO153" s="6"/>
      <c r="UP153" s="6"/>
      <c r="UQ153" s="6"/>
      <c r="UR153" s="6"/>
      <c r="US153" s="6"/>
      <c r="UT153" s="6"/>
      <c r="UU153" s="6"/>
      <c r="UV153" s="6"/>
      <c r="UW153" s="6"/>
      <c r="UX153" s="6"/>
      <c r="UY153" s="6"/>
      <c r="UZ153" s="6"/>
      <c r="VA153" s="6"/>
      <c r="VB153" s="6"/>
      <c r="VC153" s="6"/>
      <c r="VD153" s="6"/>
      <c r="VE153" s="6"/>
      <c r="VF153" s="6"/>
      <c r="VG153" s="6"/>
      <c r="VH153" s="6"/>
      <c r="VI153" s="6"/>
      <c r="VJ153" s="6"/>
      <c r="VK153" s="6"/>
      <c r="VL153" s="6"/>
      <c r="VM153" s="6"/>
      <c r="VN153" s="6"/>
      <c r="VO153" s="6"/>
      <c r="VP153" s="6"/>
      <c r="VQ153" s="6"/>
      <c r="VR153" s="6"/>
      <c r="VS153" s="6"/>
      <c r="VT153" s="6"/>
      <c r="VU153" s="6"/>
      <c r="VV153" s="6"/>
      <c r="VW153" s="6"/>
      <c r="VX153" s="6"/>
      <c r="VY153" s="6"/>
      <c r="VZ153" s="6"/>
      <c r="WA153" s="6"/>
      <c r="WB153" s="6"/>
      <c r="WC153" s="6"/>
      <c r="WD153" s="6"/>
      <c r="WE153" s="6"/>
      <c r="WF153" s="6"/>
      <c r="WG153" s="6"/>
      <c r="WH153" s="6"/>
      <c r="WI153" s="6"/>
      <c r="WJ153" s="6"/>
      <c r="WK153" s="6"/>
      <c r="WL153" s="6"/>
      <c r="WM153" s="6"/>
      <c r="WN153" s="6"/>
      <c r="WO153" s="6"/>
      <c r="WP153" s="6"/>
      <c r="WQ153" s="6"/>
      <c r="WR153" s="6"/>
      <c r="WS153" s="6"/>
      <c r="WT153" s="6"/>
      <c r="WU153" s="6"/>
      <c r="WV153" s="6"/>
      <c r="WW153" s="6"/>
      <c r="WX153" s="6"/>
      <c r="WY153" s="6"/>
      <c r="WZ153" s="6"/>
      <c r="XA153" s="6"/>
      <c r="XB153" s="6"/>
      <c r="XC153" s="6"/>
      <c r="XD153" s="6"/>
      <c r="XE153" s="6"/>
      <c r="XF153" s="6"/>
      <c r="XG153" s="6"/>
      <c r="XH153" s="6"/>
      <c r="XI153" s="6"/>
      <c r="XJ153" s="6"/>
      <c r="XK153" s="6"/>
      <c r="XL153" s="6"/>
      <c r="XM153" s="6"/>
      <c r="XN153" s="6"/>
      <c r="XO153" s="6"/>
      <c r="XP153" s="6"/>
      <c r="XQ153" s="6"/>
      <c r="XR153" s="6"/>
      <c r="XS153" s="6"/>
      <c r="XT153" s="6"/>
      <c r="XU153" s="6"/>
      <c r="XV153" s="6"/>
      <c r="XW153" s="6"/>
      <c r="XX153" s="6"/>
      <c r="XY153" s="6"/>
      <c r="XZ153" s="6"/>
      <c r="YA153" s="6"/>
      <c r="YB153" s="6"/>
      <c r="YC153" s="6"/>
      <c r="YD153" s="6"/>
      <c r="YE153" s="6"/>
      <c r="YF153" s="6"/>
      <c r="YG153" s="6"/>
      <c r="YH153" s="6"/>
      <c r="YI153" s="6"/>
      <c r="YJ153" s="6"/>
      <c r="YK153" s="6"/>
      <c r="YL153" s="6"/>
      <c r="YM153" s="6"/>
      <c r="YN153" s="6"/>
      <c r="YO153" s="6"/>
      <c r="YP153" s="6"/>
      <c r="YQ153" s="6"/>
      <c r="YR153" s="6"/>
      <c r="YS153" s="6"/>
      <c r="YT153" s="6"/>
      <c r="YU153" s="6"/>
      <c r="YV153" s="6"/>
      <c r="YW153" s="6"/>
      <c r="YX153" s="6"/>
      <c r="YY153" s="6"/>
      <c r="YZ153" s="6"/>
      <c r="ZA153" s="6"/>
      <c r="ZB153" s="6"/>
      <c r="ZC153" s="6"/>
      <c r="ZD153" s="6"/>
      <c r="ZE153" s="6"/>
      <c r="ZF153" s="6"/>
      <c r="ZG153" s="6"/>
      <c r="ZH153" s="6"/>
      <c r="ZI153" s="6"/>
      <c r="ZJ153" s="6"/>
      <c r="ZK153" s="6"/>
      <c r="ZL153" s="6"/>
      <c r="ZM153" s="6"/>
      <c r="ZN153" s="6"/>
      <c r="ZO153" s="6"/>
      <c r="ZP153" s="6"/>
      <c r="ZQ153" s="6"/>
      <c r="ZR153" s="6"/>
      <c r="ZS153" s="6"/>
      <c r="ZT153" s="6"/>
      <c r="ZU153" s="6"/>
      <c r="ZV153" s="6"/>
      <c r="ZW153" s="6"/>
      <c r="ZX153" s="6"/>
      <c r="ZY153" s="6"/>
      <c r="ZZ153" s="6"/>
      <c r="AAA153" s="6"/>
      <c r="AAB153" s="6"/>
      <c r="AAC153" s="6"/>
      <c r="AAD153" s="6"/>
      <c r="AAE153" s="6"/>
      <c r="AAF153" s="6"/>
      <c r="AAG153" s="6"/>
      <c r="AAH153" s="6"/>
      <c r="AAI153" s="6"/>
      <c r="AAJ153" s="6"/>
      <c r="AAK153" s="6"/>
      <c r="AAL153" s="6"/>
      <c r="AAM153" s="6"/>
      <c r="AAN153" s="6"/>
      <c r="AAO153" s="6"/>
      <c r="AAP153" s="6"/>
      <c r="AAQ153" s="6"/>
      <c r="AAR153" s="6"/>
      <c r="AAS153" s="6"/>
      <c r="AAT153" s="6"/>
      <c r="AAU153" s="6"/>
      <c r="AAV153" s="6"/>
      <c r="AAW153" s="6"/>
      <c r="AAX153" s="6"/>
      <c r="AAY153" s="6"/>
      <c r="AAZ153" s="6"/>
      <c r="ABA153" s="6"/>
      <c r="ABB153" s="6"/>
      <c r="ABC153" s="6"/>
      <c r="ABD153" s="6"/>
      <c r="ABE153" s="6"/>
      <c r="ABF153" s="6"/>
      <c r="ABG153" s="6"/>
      <c r="ABH153" s="6"/>
      <c r="ABI153" s="6"/>
      <c r="ABJ153" s="6"/>
      <c r="ABK153" s="6"/>
      <c r="ABL153" s="6"/>
      <c r="ABM153" s="6"/>
      <c r="ABN153" s="6"/>
      <c r="ABO153" s="6"/>
      <c r="ABP153" s="6"/>
      <c r="ABQ153" s="6"/>
      <c r="ABR153" s="6"/>
      <c r="ABS153" s="6"/>
      <c r="ABT153" s="6"/>
      <c r="ABU153" s="6"/>
      <c r="ABV153" s="6"/>
      <c r="ABW153" s="6"/>
      <c r="ABX153" s="6"/>
      <c r="ABY153" s="6"/>
      <c r="ABZ153" s="6"/>
      <c r="ACA153" s="6"/>
      <c r="ACB153" s="6"/>
      <c r="ACC153" s="6"/>
      <c r="ACD153" s="6"/>
      <c r="ACE153" s="6"/>
      <c r="ACF153" s="6"/>
      <c r="ACG153" s="6"/>
      <c r="ACH153" s="6"/>
      <c r="ACI153" s="6"/>
      <c r="ACJ153" s="6"/>
      <c r="ACK153" s="6"/>
      <c r="ACL153" s="6"/>
      <c r="ACM153" s="6"/>
      <c r="ACN153" s="6"/>
      <c r="ACO153" s="6"/>
      <c r="ACP153" s="6"/>
      <c r="ACQ153" s="6"/>
      <c r="ACR153" s="6"/>
      <c r="ACS153" s="6"/>
      <c r="ACT153" s="6"/>
      <c r="ACU153" s="6"/>
      <c r="ACV153" s="6"/>
      <c r="ACW153" s="6"/>
      <c r="ACX153" s="6"/>
      <c r="ACY153" s="6"/>
      <c r="ACZ153" s="6"/>
      <c r="ADA153" s="6"/>
      <c r="ADB153" s="6"/>
      <c r="ADC153" s="6"/>
      <c r="ADD153" s="6"/>
      <c r="ADE153" s="6"/>
      <c r="ADF153" s="6"/>
      <c r="ADG153" s="6"/>
      <c r="ADH153" s="6"/>
      <c r="ADI153" s="6"/>
      <c r="ADJ153" s="6"/>
    </row>
    <row r="154" spans="1:790" s="291" customFormat="1" x14ac:dyDescent="0.3">
      <c r="A154" s="399"/>
      <c r="B154" s="571" t="s">
        <v>110</v>
      </c>
      <c r="C154" s="366"/>
      <c r="D154" s="367"/>
      <c r="E154" s="367"/>
      <c r="F154" s="362">
        <v>742</v>
      </c>
      <c r="G154" s="362">
        <v>0.2</v>
      </c>
      <c r="H154" s="362">
        <f>+PRODUCT(C154:G154)</f>
        <v>148.4</v>
      </c>
      <c r="I154" s="369" t="s">
        <v>22</v>
      </c>
      <c r="J154" s="362">
        <f>+PRODUCT(C154:G154)</f>
        <v>148.4</v>
      </c>
      <c r="K154" s="363">
        <v>180</v>
      </c>
      <c r="L154" s="370">
        <f t="shared" ref="L154" si="152">J154*K154</f>
        <v>26712</v>
      </c>
      <c r="M154" s="490">
        <f t="shared" ref="M154" si="153">K154*(100%-16.5%)</f>
        <v>150.29999999999998</v>
      </c>
      <c r="N154" s="489">
        <f t="shared" si="138"/>
        <v>22304.519999999997</v>
      </c>
      <c r="O154" s="308"/>
      <c r="Q154" s="497"/>
      <c r="R154" s="481">
        <f t="shared" si="148"/>
        <v>148.4</v>
      </c>
      <c r="S154" s="514">
        <v>15</v>
      </c>
      <c r="T154" s="515">
        <f t="shared" si="143"/>
        <v>2226</v>
      </c>
      <c r="U154" s="482">
        <f t="shared" si="144"/>
        <v>148.4</v>
      </c>
      <c r="V154" s="524">
        <v>120</v>
      </c>
      <c r="W154" s="515">
        <f t="shared" si="145"/>
        <v>17808</v>
      </c>
      <c r="X154" s="507">
        <f t="shared" ref="X154" si="154">V154+S154</f>
        <v>135</v>
      </c>
      <c r="Y154" s="520">
        <f t="shared" ref="Y154" si="155">M154-X154</f>
        <v>15.299999999999983</v>
      </c>
      <c r="Z154" s="521">
        <f t="shared" ref="Z154" si="156">Y154/M154</f>
        <v>0.10179640718562864</v>
      </c>
      <c r="AA154" s="471"/>
      <c r="AB154" s="471"/>
      <c r="AC154" s="471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6"/>
      <c r="KZ154" s="6"/>
      <c r="LA154" s="6"/>
      <c r="LB154" s="6"/>
      <c r="LC154" s="6"/>
      <c r="LD154" s="6"/>
      <c r="LE154" s="6"/>
      <c r="LF154" s="6"/>
      <c r="LG154" s="6"/>
      <c r="LH154" s="6"/>
      <c r="LI154" s="6"/>
      <c r="LJ154" s="6"/>
      <c r="LK154" s="6"/>
      <c r="LL154" s="6"/>
      <c r="LM154" s="6"/>
      <c r="LN154" s="6"/>
      <c r="LO154" s="6"/>
      <c r="LP154" s="6"/>
      <c r="LQ154" s="6"/>
      <c r="LR154" s="6"/>
      <c r="LS154" s="6"/>
      <c r="LT154" s="6"/>
      <c r="LU154" s="6"/>
      <c r="LV154" s="6"/>
      <c r="LW154" s="6"/>
      <c r="LX154" s="6"/>
      <c r="LY154" s="6"/>
      <c r="LZ154" s="6"/>
      <c r="MA154" s="6"/>
      <c r="MB154" s="6"/>
      <c r="MC154" s="6"/>
      <c r="MD154" s="6"/>
      <c r="ME154" s="6"/>
      <c r="MF154" s="6"/>
      <c r="MG154" s="6"/>
      <c r="MH154" s="6"/>
      <c r="MI154" s="6"/>
      <c r="MJ154" s="6"/>
      <c r="MK154" s="6"/>
      <c r="ML154" s="6"/>
      <c r="MM154" s="6"/>
      <c r="MN154" s="6"/>
      <c r="MO154" s="6"/>
      <c r="MP154" s="6"/>
      <c r="MQ154" s="6"/>
      <c r="MR154" s="6"/>
      <c r="MS154" s="6"/>
      <c r="MT154" s="6"/>
      <c r="MU154" s="6"/>
      <c r="MV154" s="6"/>
      <c r="MW154" s="6"/>
      <c r="MX154" s="6"/>
      <c r="MY154" s="6"/>
      <c r="MZ154" s="6"/>
      <c r="NA154" s="6"/>
      <c r="NB154" s="6"/>
      <c r="NC154" s="6"/>
      <c r="ND154" s="6"/>
      <c r="NE154" s="6"/>
      <c r="NF154" s="6"/>
      <c r="NG154" s="6"/>
      <c r="NH154" s="6"/>
      <c r="NI154" s="6"/>
      <c r="NJ154" s="6"/>
      <c r="NK154" s="6"/>
      <c r="NL154" s="6"/>
      <c r="NM154" s="6"/>
      <c r="NN154" s="6"/>
      <c r="NO154" s="6"/>
      <c r="NP154" s="6"/>
      <c r="NQ154" s="6"/>
      <c r="NR154" s="6"/>
      <c r="NS154" s="6"/>
      <c r="NT154" s="6"/>
      <c r="NU154" s="6"/>
      <c r="NV154" s="6"/>
      <c r="NW154" s="6"/>
      <c r="NX154" s="6"/>
      <c r="NY154" s="6"/>
      <c r="NZ154" s="6"/>
      <c r="OA154" s="6"/>
      <c r="OB154" s="6"/>
      <c r="OC154" s="6"/>
      <c r="OD154" s="6"/>
      <c r="OE154" s="6"/>
      <c r="OF154" s="6"/>
      <c r="OG154" s="6"/>
      <c r="OH154" s="6"/>
      <c r="OI154" s="6"/>
      <c r="OJ154" s="6"/>
      <c r="OK154" s="6"/>
      <c r="OL154" s="6"/>
      <c r="OM154" s="6"/>
      <c r="ON154" s="6"/>
      <c r="OO154" s="6"/>
      <c r="OP154" s="6"/>
      <c r="OQ154" s="6"/>
      <c r="OR154" s="6"/>
      <c r="OS154" s="6"/>
      <c r="OT154" s="6"/>
      <c r="OU154" s="6"/>
      <c r="OV154" s="6"/>
      <c r="OW154" s="6"/>
      <c r="OX154" s="6"/>
      <c r="OY154" s="6"/>
      <c r="OZ154" s="6"/>
      <c r="PA154" s="6"/>
      <c r="PB154" s="6"/>
      <c r="PC154" s="6"/>
      <c r="PD154" s="6"/>
      <c r="PE154" s="6"/>
      <c r="PF154" s="6"/>
      <c r="PG154" s="6"/>
      <c r="PH154" s="6"/>
      <c r="PI154" s="6"/>
      <c r="PJ154" s="6"/>
      <c r="PK154" s="6"/>
      <c r="PL154" s="6"/>
      <c r="PM154" s="6"/>
      <c r="PN154" s="6"/>
      <c r="PO154" s="6"/>
      <c r="PP154" s="6"/>
      <c r="PQ154" s="6"/>
      <c r="PR154" s="6"/>
      <c r="PS154" s="6"/>
      <c r="PT154" s="6"/>
      <c r="PU154" s="6"/>
      <c r="PV154" s="6"/>
      <c r="PW154" s="6"/>
      <c r="PX154" s="6"/>
      <c r="PY154" s="6"/>
      <c r="PZ154" s="6"/>
      <c r="QA154" s="6"/>
      <c r="QB154" s="6"/>
      <c r="QC154" s="6"/>
      <c r="QD154" s="6"/>
      <c r="QE154" s="6"/>
      <c r="QF154" s="6"/>
      <c r="QG154" s="6"/>
      <c r="QH154" s="6"/>
      <c r="QI154" s="6"/>
      <c r="QJ154" s="6"/>
      <c r="QK154" s="6"/>
      <c r="QL154" s="6"/>
      <c r="QM154" s="6"/>
      <c r="QN154" s="6"/>
      <c r="QO154" s="6"/>
      <c r="QP154" s="6"/>
      <c r="QQ154" s="6"/>
      <c r="QR154" s="6"/>
      <c r="QS154" s="6"/>
      <c r="QT154" s="6"/>
      <c r="QU154" s="6"/>
      <c r="QV154" s="6"/>
      <c r="QW154" s="6"/>
      <c r="QX154" s="6"/>
      <c r="QY154" s="6"/>
      <c r="QZ154" s="6"/>
      <c r="RA154" s="6"/>
      <c r="RB154" s="6"/>
      <c r="RC154" s="6"/>
      <c r="RD154" s="6"/>
      <c r="RE154" s="6"/>
      <c r="RF154" s="6"/>
      <c r="RG154" s="6"/>
      <c r="RH154" s="6"/>
      <c r="RI154" s="6"/>
      <c r="RJ154" s="6"/>
      <c r="RK154" s="6"/>
      <c r="RL154" s="6"/>
      <c r="RM154" s="6"/>
      <c r="RN154" s="6"/>
      <c r="RO154" s="6"/>
      <c r="RP154" s="6"/>
      <c r="RQ154" s="6"/>
      <c r="RR154" s="6"/>
      <c r="RS154" s="6"/>
      <c r="RT154" s="6"/>
      <c r="RU154" s="6"/>
      <c r="RV154" s="6"/>
      <c r="RW154" s="6"/>
      <c r="RX154" s="6"/>
      <c r="RY154" s="6"/>
      <c r="RZ154" s="6"/>
      <c r="SA154" s="6"/>
      <c r="SB154" s="6"/>
      <c r="SC154" s="6"/>
      <c r="SD154" s="6"/>
      <c r="SE154" s="6"/>
      <c r="SF154" s="6"/>
      <c r="SG154" s="6"/>
      <c r="SH154" s="6"/>
      <c r="SI154" s="6"/>
      <c r="SJ154" s="6"/>
      <c r="SK154" s="6"/>
      <c r="SL154" s="6"/>
      <c r="SM154" s="6"/>
      <c r="SN154" s="6"/>
      <c r="SO154" s="6"/>
      <c r="SP154" s="6"/>
      <c r="SQ154" s="6"/>
      <c r="SR154" s="6"/>
      <c r="SS154" s="6"/>
      <c r="ST154" s="6"/>
      <c r="SU154" s="6"/>
      <c r="SV154" s="6"/>
      <c r="SW154" s="6"/>
      <c r="SX154" s="6"/>
      <c r="SY154" s="6"/>
      <c r="SZ154" s="6"/>
      <c r="TA154" s="6"/>
      <c r="TB154" s="6"/>
      <c r="TC154" s="6"/>
      <c r="TD154" s="6"/>
      <c r="TE154" s="6"/>
      <c r="TF154" s="6"/>
      <c r="TG154" s="6"/>
      <c r="TH154" s="6"/>
      <c r="TI154" s="6"/>
      <c r="TJ154" s="6"/>
      <c r="TK154" s="6"/>
      <c r="TL154" s="6"/>
      <c r="TM154" s="6"/>
      <c r="TN154" s="6"/>
      <c r="TO154" s="6"/>
      <c r="TP154" s="6"/>
      <c r="TQ154" s="6"/>
      <c r="TR154" s="6"/>
      <c r="TS154" s="6"/>
      <c r="TT154" s="6"/>
      <c r="TU154" s="6"/>
      <c r="TV154" s="6"/>
      <c r="TW154" s="6"/>
      <c r="TX154" s="6"/>
      <c r="TY154" s="6"/>
      <c r="TZ154" s="6"/>
      <c r="UA154" s="6"/>
      <c r="UB154" s="6"/>
      <c r="UC154" s="6"/>
      <c r="UD154" s="6"/>
      <c r="UE154" s="6"/>
      <c r="UF154" s="6"/>
      <c r="UG154" s="6"/>
      <c r="UH154" s="6"/>
      <c r="UI154" s="6"/>
      <c r="UJ154" s="6"/>
      <c r="UK154" s="6"/>
      <c r="UL154" s="6"/>
      <c r="UM154" s="6"/>
      <c r="UN154" s="6"/>
      <c r="UO154" s="6"/>
      <c r="UP154" s="6"/>
      <c r="UQ154" s="6"/>
      <c r="UR154" s="6"/>
      <c r="US154" s="6"/>
      <c r="UT154" s="6"/>
      <c r="UU154" s="6"/>
      <c r="UV154" s="6"/>
      <c r="UW154" s="6"/>
      <c r="UX154" s="6"/>
      <c r="UY154" s="6"/>
      <c r="UZ154" s="6"/>
      <c r="VA154" s="6"/>
      <c r="VB154" s="6"/>
      <c r="VC154" s="6"/>
      <c r="VD154" s="6"/>
      <c r="VE154" s="6"/>
      <c r="VF154" s="6"/>
      <c r="VG154" s="6"/>
      <c r="VH154" s="6"/>
      <c r="VI154" s="6"/>
      <c r="VJ154" s="6"/>
      <c r="VK154" s="6"/>
      <c r="VL154" s="6"/>
      <c r="VM154" s="6"/>
      <c r="VN154" s="6"/>
      <c r="VO154" s="6"/>
      <c r="VP154" s="6"/>
      <c r="VQ154" s="6"/>
      <c r="VR154" s="6"/>
      <c r="VS154" s="6"/>
      <c r="VT154" s="6"/>
      <c r="VU154" s="6"/>
      <c r="VV154" s="6"/>
      <c r="VW154" s="6"/>
      <c r="VX154" s="6"/>
      <c r="VY154" s="6"/>
      <c r="VZ154" s="6"/>
      <c r="WA154" s="6"/>
      <c r="WB154" s="6"/>
      <c r="WC154" s="6"/>
      <c r="WD154" s="6"/>
      <c r="WE154" s="6"/>
      <c r="WF154" s="6"/>
      <c r="WG154" s="6"/>
      <c r="WH154" s="6"/>
      <c r="WI154" s="6"/>
      <c r="WJ154" s="6"/>
      <c r="WK154" s="6"/>
      <c r="WL154" s="6"/>
      <c r="WM154" s="6"/>
      <c r="WN154" s="6"/>
      <c r="WO154" s="6"/>
      <c r="WP154" s="6"/>
      <c r="WQ154" s="6"/>
      <c r="WR154" s="6"/>
      <c r="WS154" s="6"/>
      <c r="WT154" s="6"/>
      <c r="WU154" s="6"/>
      <c r="WV154" s="6"/>
      <c r="WW154" s="6"/>
      <c r="WX154" s="6"/>
      <c r="WY154" s="6"/>
      <c r="WZ154" s="6"/>
      <c r="XA154" s="6"/>
      <c r="XB154" s="6"/>
      <c r="XC154" s="6"/>
      <c r="XD154" s="6"/>
      <c r="XE154" s="6"/>
      <c r="XF154" s="6"/>
      <c r="XG154" s="6"/>
      <c r="XH154" s="6"/>
      <c r="XI154" s="6"/>
      <c r="XJ154" s="6"/>
      <c r="XK154" s="6"/>
      <c r="XL154" s="6"/>
      <c r="XM154" s="6"/>
      <c r="XN154" s="6"/>
      <c r="XO154" s="6"/>
      <c r="XP154" s="6"/>
      <c r="XQ154" s="6"/>
      <c r="XR154" s="6"/>
      <c r="XS154" s="6"/>
      <c r="XT154" s="6"/>
      <c r="XU154" s="6"/>
      <c r="XV154" s="6"/>
      <c r="XW154" s="6"/>
      <c r="XX154" s="6"/>
      <c r="XY154" s="6"/>
      <c r="XZ154" s="6"/>
      <c r="YA154" s="6"/>
      <c r="YB154" s="6"/>
      <c r="YC154" s="6"/>
      <c r="YD154" s="6"/>
      <c r="YE154" s="6"/>
      <c r="YF154" s="6"/>
      <c r="YG154" s="6"/>
      <c r="YH154" s="6"/>
      <c r="YI154" s="6"/>
      <c r="YJ154" s="6"/>
      <c r="YK154" s="6"/>
      <c r="YL154" s="6"/>
      <c r="YM154" s="6"/>
      <c r="YN154" s="6"/>
      <c r="YO154" s="6"/>
      <c r="YP154" s="6"/>
      <c r="YQ154" s="6"/>
      <c r="YR154" s="6"/>
      <c r="YS154" s="6"/>
      <c r="YT154" s="6"/>
      <c r="YU154" s="6"/>
      <c r="YV154" s="6"/>
      <c r="YW154" s="6"/>
      <c r="YX154" s="6"/>
      <c r="YY154" s="6"/>
      <c r="YZ154" s="6"/>
      <c r="ZA154" s="6"/>
      <c r="ZB154" s="6"/>
      <c r="ZC154" s="6"/>
      <c r="ZD154" s="6"/>
      <c r="ZE154" s="6"/>
      <c r="ZF154" s="6"/>
      <c r="ZG154" s="6"/>
      <c r="ZH154" s="6"/>
      <c r="ZI154" s="6"/>
      <c r="ZJ154" s="6"/>
      <c r="ZK154" s="6"/>
      <c r="ZL154" s="6"/>
      <c r="ZM154" s="6"/>
      <c r="ZN154" s="6"/>
      <c r="ZO154" s="6"/>
      <c r="ZP154" s="6"/>
      <c r="ZQ154" s="6"/>
      <c r="ZR154" s="6"/>
      <c r="ZS154" s="6"/>
      <c r="ZT154" s="6"/>
      <c r="ZU154" s="6"/>
      <c r="ZV154" s="6"/>
      <c r="ZW154" s="6"/>
      <c r="ZX154" s="6"/>
      <c r="ZY154" s="6"/>
      <c r="ZZ154" s="6"/>
      <c r="AAA154" s="6"/>
      <c r="AAB154" s="6"/>
      <c r="AAC154" s="6"/>
      <c r="AAD154" s="6"/>
      <c r="AAE154" s="6"/>
      <c r="AAF154" s="6"/>
      <c r="AAG154" s="6"/>
      <c r="AAH154" s="6"/>
      <c r="AAI154" s="6"/>
      <c r="AAJ154" s="6"/>
      <c r="AAK154" s="6"/>
      <c r="AAL154" s="6"/>
      <c r="AAM154" s="6"/>
      <c r="AAN154" s="6"/>
      <c r="AAO154" s="6"/>
      <c r="AAP154" s="6"/>
      <c r="AAQ154" s="6"/>
      <c r="AAR154" s="6"/>
      <c r="AAS154" s="6"/>
      <c r="AAT154" s="6"/>
      <c r="AAU154" s="6"/>
      <c r="AAV154" s="6"/>
      <c r="AAW154" s="6"/>
      <c r="AAX154" s="6"/>
      <c r="AAY154" s="6"/>
      <c r="AAZ154" s="6"/>
      <c r="ABA154" s="6"/>
      <c r="ABB154" s="6"/>
      <c r="ABC154" s="6"/>
      <c r="ABD154" s="6"/>
      <c r="ABE154" s="6"/>
      <c r="ABF154" s="6"/>
      <c r="ABG154" s="6"/>
      <c r="ABH154" s="6"/>
      <c r="ABI154" s="6"/>
      <c r="ABJ154" s="6"/>
      <c r="ABK154" s="6"/>
      <c r="ABL154" s="6"/>
      <c r="ABM154" s="6"/>
      <c r="ABN154" s="6"/>
      <c r="ABO154" s="6"/>
      <c r="ABP154" s="6"/>
      <c r="ABQ154" s="6"/>
      <c r="ABR154" s="6"/>
      <c r="ABS154" s="6"/>
      <c r="ABT154" s="6"/>
      <c r="ABU154" s="6"/>
      <c r="ABV154" s="6"/>
      <c r="ABW154" s="6"/>
      <c r="ABX154" s="6"/>
      <c r="ABY154" s="6"/>
      <c r="ABZ154" s="6"/>
      <c r="ACA154" s="6"/>
      <c r="ACB154" s="6"/>
      <c r="ACC154" s="6"/>
      <c r="ACD154" s="6"/>
      <c r="ACE154" s="6"/>
      <c r="ACF154" s="6"/>
      <c r="ACG154" s="6"/>
      <c r="ACH154" s="6"/>
      <c r="ACI154" s="6"/>
      <c r="ACJ154" s="6"/>
      <c r="ACK154" s="6"/>
      <c r="ACL154" s="6"/>
      <c r="ACM154" s="6"/>
      <c r="ACN154" s="6"/>
      <c r="ACO154" s="6"/>
      <c r="ACP154" s="6"/>
      <c r="ACQ154" s="6"/>
      <c r="ACR154" s="6"/>
      <c r="ACS154" s="6"/>
      <c r="ACT154" s="6"/>
      <c r="ACU154" s="6"/>
      <c r="ACV154" s="6"/>
      <c r="ACW154" s="6"/>
      <c r="ACX154" s="6"/>
      <c r="ACY154" s="6"/>
      <c r="ACZ154" s="6"/>
      <c r="ADA154" s="6"/>
      <c r="ADB154" s="6"/>
      <c r="ADC154" s="6"/>
      <c r="ADD154" s="6"/>
      <c r="ADE154" s="6"/>
      <c r="ADF154" s="6"/>
      <c r="ADG154" s="6"/>
      <c r="ADH154" s="6"/>
      <c r="ADI154" s="6"/>
      <c r="ADJ154" s="6"/>
    </row>
    <row r="155" spans="1:790" s="291" customFormat="1" x14ac:dyDescent="0.3">
      <c r="A155" s="399"/>
      <c r="B155" s="558"/>
      <c r="C155" s="366"/>
      <c r="D155" s="367"/>
      <c r="E155" s="367"/>
      <c r="F155" s="367"/>
      <c r="G155" s="427"/>
      <c r="H155" s="427"/>
      <c r="I155" s="369"/>
      <c r="J155" s="403"/>
      <c r="K155" s="363"/>
      <c r="L155" s="370"/>
      <c r="M155" s="490"/>
      <c r="N155" s="489" t="str">
        <f t="shared" si="138"/>
        <v/>
      </c>
      <c r="O155" s="308"/>
      <c r="Q155" s="497"/>
      <c r="R155" s="481"/>
      <c r="S155" s="514"/>
      <c r="T155" s="515" t="str">
        <f t="shared" si="143"/>
        <v/>
      </c>
      <c r="U155" s="482" t="str">
        <f t="shared" si="144"/>
        <v/>
      </c>
      <c r="V155" s="514"/>
      <c r="W155" s="515" t="str">
        <f t="shared" si="145"/>
        <v/>
      </c>
      <c r="X155" s="507"/>
      <c r="Y155" s="507"/>
      <c r="Z155" s="478"/>
      <c r="AA155" s="471"/>
      <c r="AB155" s="471"/>
      <c r="AC155" s="471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6"/>
      <c r="KZ155" s="6"/>
      <c r="LA155" s="6"/>
      <c r="LB155" s="6"/>
      <c r="LC155" s="6"/>
      <c r="LD155" s="6"/>
      <c r="LE155" s="6"/>
      <c r="LF155" s="6"/>
      <c r="LG155" s="6"/>
      <c r="LH155" s="6"/>
      <c r="LI155" s="6"/>
      <c r="LJ155" s="6"/>
      <c r="LK155" s="6"/>
      <c r="LL155" s="6"/>
      <c r="LM155" s="6"/>
      <c r="LN155" s="6"/>
      <c r="LO155" s="6"/>
      <c r="LP155" s="6"/>
      <c r="LQ155" s="6"/>
      <c r="LR155" s="6"/>
      <c r="LS155" s="6"/>
      <c r="LT155" s="6"/>
      <c r="LU155" s="6"/>
      <c r="LV155" s="6"/>
      <c r="LW155" s="6"/>
      <c r="LX155" s="6"/>
      <c r="LY155" s="6"/>
      <c r="LZ155" s="6"/>
      <c r="MA155" s="6"/>
      <c r="MB155" s="6"/>
      <c r="MC155" s="6"/>
      <c r="MD155" s="6"/>
      <c r="ME155" s="6"/>
      <c r="MF155" s="6"/>
      <c r="MG155" s="6"/>
      <c r="MH155" s="6"/>
      <c r="MI155" s="6"/>
      <c r="MJ155" s="6"/>
      <c r="MK155" s="6"/>
      <c r="ML155" s="6"/>
      <c r="MM155" s="6"/>
      <c r="MN155" s="6"/>
      <c r="MO155" s="6"/>
      <c r="MP155" s="6"/>
      <c r="MQ155" s="6"/>
      <c r="MR155" s="6"/>
      <c r="MS155" s="6"/>
      <c r="MT155" s="6"/>
      <c r="MU155" s="6"/>
      <c r="MV155" s="6"/>
      <c r="MW155" s="6"/>
      <c r="MX155" s="6"/>
      <c r="MY155" s="6"/>
      <c r="MZ155" s="6"/>
      <c r="NA155" s="6"/>
      <c r="NB155" s="6"/>
      <c r="NC155" s="6"/>
      <c r="ND155" s="6"/>
      <c r="NE155" s="6"/>
      <c r="NF155" s="6"/>
      <c r="NG155" s="6"/>
      <c r="NH155" s="6"/>
      <c r="NI155" s="6"/>
      <c r="NJ155" s="6"/>
      <c r="NK155" s="6"/>
      <c r="NL155" s="6"/>
      <c r="NM155" s="6"/>
      <c r="NN155" s="6"/>
      <c r="NO155" s="6"/>
      <c r="NP155" s="6"/>
      <c r="NQ155" s="6"/>
      <c r="NR155" s="6"/>
      <c r="NS155" s="6"/>
      <c r="NT155" s="6"/>
      <c r="NU155" s="6"/>
      <c r="NV155" s="6"/>
      <c r="NW155" s="6"/>
      <c r="NX155" s="6"/>
      <c r="NY155" s="6"/>
      <c r="NZ155" s="6"/>
      <c r="OA155" s="6"/>
      <c r="OB155" s="6"/>
      <c r="OC155" s="6"/>
      <c r="OD155" s="6"/>
      <c r="OE155" s="6"/>
      <c r="OF155" s="6"/>
      <c r="OG155" s="6"/>
      <c r="OH155" s="6"/>
      <c r="OI155" s="6"/>
      <c r="OJ155" s="6"/>
      <c r="OK155" s="6"/>
      <c r="OL155" s="6"/>
      <c r="OM155" s="6"/>
      <c r="ON155" s="6"/>
      <c r="OO155" s="6"/>
      <c r="OP155" s="6"/>
      <c r="OQ155" s="6"/>
      <c r="OR155" s="6"/>
      <c r="OS155" s="6"/>
      <c r="OT155" s="6"/>
      <c r="OU155" s="6"/>
      <c r="OV155" s="6"/>
      <c r="OW155" s="6"/>
      <c r="OX155" s="6"/>
      <c r="OY155" s="6"/>
      <c r="OZ155" s="6"/>
      <c r="PA155" s="6"/>
      <c r="PB155" s="6"/>
      <c r="PC155" s="6"/>
      <c r="PD155" s="6"/>
      <c r="PE155" s="6"/>
      <c r="PF155" s="6"/>
      <c r="PG155" s="6"/>
      <c r="PH155" s="6"/>
      <c r="PI155" s="6"/>
      <c r="PJ155" s="6"/>
      <c r="PK155" s="6"/>
      <c r="PL155" s="6"/>
      <c r="PM155" s="6"/>
      <c r="PN155" s="6"/>
      <c r="PO155" s="6"/>
      <c r="PP155" s="6"/>
      <c r="PQ155" s="6"/>
      <c r="PR155" s="6"/>
      <c r="PS155" s="6"/>
      <c r="PT155" s="6"/>
      <c r="PU155" s="6"/>
      <c r="PV155" s="6"/>
      <c r="PW155" s="6"/>
      <c r="PX155" s="6"/>
      <c r="PY155" s="6"/>
      <c r="PZ155" s="6"/>
      <c r="QA155" s="6"/>
      <c r="QB155" s="6"/>
      <c r="QC155" s="6"/>
      <c r="QD155" s="6"/>
      <c r="QE155" s="6"/>
      <c r="QF155" s="6"/>
      <c r="QG155" s="6"/>
      <c r="QH155" s="6"/>
      <c r="QI155" s="6"/>
      <c r="QJ155" s="6"/>
      <c r="QK155" s="6"/>
      <c r="QL155" s="6"/>
      <c r="QM155" s="6"/>
      <c r="QN155" s="6"/>
      <c r="QO155" s="6"/>
      <c r="QP155" s="6"/>
      <c r="QQ155" s="6"/>
      <c r="QR155" s="6"/>
      <c r="QS155" s="6"/>
      <c r="QT155" s="6"/>
      <c r="QU155" s="6"/>
      <c r="QV155" s="6"/>
      <c r="QW155" s="6"/>
      <c r="QX155" s="6"/>
      <c r="QY155" s="6"/>
      <c r="QZ155" s="6"/>
      <c r="RA155" s="6"/>
      <c r="RB155" s="6"/>
      <c r="RC155" s="6"/>
      <c r="RD155" s="6"/>
      <c r="RE155" s="6"/>
      <c r="RF155" s="6"/>
      <c r="RG155" s="6"/>
      <c r="RH155" s="6"/>
      <c r="RI155" s="6"/>
      <c r="RJ155" s="6"/>
      <c r="RK155" s="6"/>
      <c r="RL155" s="6"/>
      <c r="RM155" s="6"/>
      <c r="RN155" s="6"/>
      <c r="RO155" s="6"/>
      <c r="RP155" s="6"/>
      <c r="RQ155" s="6"/>
      <c r="RR155" s="6"/>
      <c r="RS155" s="6"/>
      <c r="RT155" s="6"/>
      <c r="RU155" s="6"/>
      <c r="RV155" s="6"/>
      <c r="RW155" s="6"/>
      <c r="RX155" s="6"/>
      <c r="RY155" s="6"/>
      <c r="RZ155" s="6"/>
      <c r="SA155" s="6"/>
      <c r="SB155" s="6"/>
      <c r="SC155" s="6"/>
      <c r="SD155" s="6"/>
      <c r="SE155" s="6"/>
      <c r="SF155" s="6"/>
      <c r="SG155" s="6"/>
      <c r="SH155" s="6"/>
      <c r="SI155" s="6"/>
      <c r="SJ155" s="6"/>
      <c r="SK155" s="6"/>
      <c r="SL155" s="6"/>
      <c r="SM155" s="6"/>
      <c r="SN155" s="6"/>
      <c r="SO155" s="6"/>
      <c r="SP155" s="6"/>
      <c r="SQ155" s="6"/>
      <c r="SR155" s="6"/>
      <c r="SS155" s="6"/>
      <c r="ST155" s="6"/>
      <c r="SU155" s="6"/>
      <c r="SV155" s="6"/>
      <c r="SW155" s="6"/>
      <c r="SX155" s="6"/>
      <c r="SY155" s="6"/>
      <c r="SZ155" s="6"/>
      <c r="TA155" s="6"/>
      <c r="TB155" s="6"/>
      <c r="TC155" s="6"/>
      <c r="TD155" s="6"/>
      <c r="TE155" s="6"/>
      <c r="TF155" s="6"/>
      <c r="TG155" s="6"/>
      <c r="TH155" s="6"/>
      <c r="TI155" s="6"/>
      <c r="TJ155" s="6"/>
      <c r="TK155" s="6"/>
      <c r="TL155" s="6"/>
      <c r="TM155" s="6"/>
      <c r="TN155" s="6"/>
      <c r="TO155" s="6"/>
      <c r="TP155" s="6"/>
      <c r="TQ155" s="6"/>
      <c r="TR155" s="6"/>
      <c r="TS155" s="6"/>
      <c r="TT155" s="6"/>
      <c r="TU155" s="6"/>
      <c r="TV155" s="6"/>
      <c r="TW155" s="6"/>
      <c r="TX155" s="6"/>
      <c r="TY155" s="6"/>
      <c r="TZ155" s="6"/>
      <c r="UA155" s="6"/>
      <c r="UB155" s="6"/>
      <c r="UC155" s="6"/>
      <c r="UD155" s="6"/>
      <c r="UE155" s="6"/>
      <c r="UF155" s="6"/>
      <c r="UG155" s="6"/>
      <c r="UH155" s="6"/>
      <c r="UI155" s="6"/>
      <c r="UJ155" s="6"/>
      <c r="UK155" s="6"/>
      <c r="UL155" s="6"/>
      <c r="UM155" s="6"/>
      <c r="UN155" s="6"/>
      <c r="UO155" s="6"/>
      <c r="UP155" s="6"/>
      <c r="UQ155" s="6"/>
      <c r="UR155" s="6"/>
      <c r="US155" s="6"/>
      <c r="UT155" s="6"/>
      <c r="UU155" s="6"/>
      <c r="UV155" s="6"/>
      <c r="UW155" s="6"/>
      <c r="UX155" s="6"/>
      <c r="UY155" s="6"/>
      <c r="UZ155" s="6"/>
      <c r="VA155" s="6"/>
      <c r="VB155" s="6"/>
      <c r="VC155" s="6"/>
      <c r="VD155" s="6"/>
      <c r="VE155" s="6"/>
      <c r="VF155" s="6"/>
      <c r="VG155" s="6"/>
      <c r="VH155" s="6"/>
      <c r="VI155" s="6"/>
      <c r="VJ155" s="6"/>
      <c r="VK155" s="6"/>
      <c r="VL155" s="6"/>
      <c r="VM155" s="6"/>
      <c r="VN155" s="6"/>
      <c r="VO155" s="6"/>
      <c r="VP155" s="6"/>
      <c r="VQ155" s="6"/>
      <c r="VR155" s="6"/>
      <c r="VS155" s="6"/>
      <c r="VT155" s="6"/>
      <c r="VU155" s="6"/>
      <c r="VV155" s="6"/>
      <c r="VW155" s="6"/>
      <c r="VX155" s="6"/>
      <c r="VY155" s="6"/>
      <c r="VZ155" s="6"/>
      <c r="WA155" s="6"/>
      <c r="WB155" s="6"/>
      <c r="WC155" s="6"/>
      <c r="WD155" s="6"/>
      <c r="WE155" s="6"/>
      <c r="WF155" s="6"/>
      <c r="WG155" s="6"/>
      <c r="WH155" s="6"/>
      <c r="WI155" s="6"/>
      <c r="WJ155" s="6"/>
      <c r="WK155" s="6"/>
      <c r="WL155" s="6"/>
      <c r="WM155" s="6"/>
      <c r="WN155" s="6"/>
      <c r="WO155" s="6"/>
      <c r="WP155" s="6"/>
      <c r="WQ155" s="6"/>
      <c r="WR155" s="6"/>
      <c r="WS155" s="6"/>
      <c r="WT155" s="6"/>
      <c r="WU155" s="6"/>
      <c r="WV155" s="6"/>
      <c r="WW155" s="6"/>
      <c r="WX155" s="6"/>
      <c r="WY155" s="6"/>
      <c r="WZ155" s="6"/>
      <c r="XA155" s="6"/>
      <c r="XB155" s="6"/>
      <c r="XC155" s="6"/>
      <c r="XD155" s="6"/>
      <c r="XE155" s="6"/>
      <c r="XF155" s="6"/>
      <c r="XG155" s="6"/>
      <c r="XH155" s="6"/>
      <c r="XI155" s="6"/>
      <c r="XJ155" s="6"/>
      <c r="XK155" s="6"/>
      <c r="XL155" s="6"/>
      <c r="XM155" s="6"/>
      <c r="XN155" s="6"/>
      <c r="XO155" s="6"/>
      <c r="XP155" s="6"/>
      <c r="XQ155" s="6"/>
      <c r="XR155" s="6"/>
      <c r="XS155" s="6"/>
      <c r="XT155" s="6"/>
      <c r="XU155" s="6"/>
      <c r="XV155" s="6"/>
      <c r="XW155" s="6"/>
      <c r="XX155" s="6"/>
      <c r="XY155" s="6"/>
      <c r="XZ155" s="6"/>
      <c r="YA155" s="6"/>
      <c r="YB155" s="6"/>
      <c r="YC155" s="6"/>
      <c r="YD155" s="6"/>
      <c r="YE155" s="6"/>
      <c r="YF155" s="6"/>
      <c r="YG155" s="6"/>
      <c r="YH155" s="6"/>
      <c r="YI155" s="6"/>
      <c r="YJ155" s="6"/>
      <c r="YK155" s="6"/>
      <c r="YL155" s="6"/>
      <c r="YM155" s="6"/>
      <c r="YN155" s="6"/>
      <c r="YO155" s="6"/>
      <c r="YP155" s="6"/>
      <c r="YQ155" s="6"/>
      <c r="YR155" s="6"/>
      <c r="YS155" s="6"/>
      <c r="YT155" s="6"/>
      <c r="YU155" s="6"/>
      <c r="YV155" s="6"/>
      <c r="YW155" s="6"/>
      <c r="YX155" s="6"/>
      <c r="YY155" s="6"/>
      <c r="YZ155" s="6"/>
      <c r="ZA155" s="6"/>
      <c r="ZB155" s="6"/>
      <c r="ZC155" s="6"/>
      <c r="ZD155" s="6"/>
      <c r="ZE155" s="6"/>
      <c r="ZF155" s="6"/>
      <c r="ZG155" s="6"/>
      <c r="ZH155" s="6"/>
      <c r="ZI155" s="6"/>
      <c r="ZJ155" s="6"/>
      <c r="ZK155" s="6"/>
      <c r="ZL155" s="6"/>
      <c r="ZM155" s="6"/>
      <c r="ZN155" s="6"/>
      <c r="ZO155" s="6"/>
      <c r="ZP155" s="6"/>
      <c r="ZQ155" s="6"/>
      <c r="ZR155" s="6"/>
      <c r="ZS155" s="6"/>
      <c r="ZT155" s="6"/>
      <c r="ZU155" s="6"/>
      <c r="ZV155" s="6"/>
      <c r="ZW155" s="6"/>
      <c r="ZX155" s="6"/>
      <c r="ZY155" s="6"/>
      <c r="ZZ155" s="6"/>
      <c r="AAA155" s="6"/>
      <c r="AAB155" s="6"/>
      <c r="AAC155" s="6"/>
      <c r="AAD155" s="6"/>
      <c r="AAE155" s="6"/>
      <c r="AAF155" s="6"/>
      <c r="AAG155" s="6"/>
      <c r="AAH155" s="6"/>
      <c r="AAI155" s="6"/>
      <c r="AAJ155" s="6"/>
      <c r="AAK155" s="6"/>
      <c r="AAL155" s="6"/>
      <c r="AAM155" s="6"/>
      <c r="AAN155" s="6"/>
      <c r="AAO155" s="6"/>
      <c r="AAP155" s="6"/>
      <c r="AAQ155" s="6"/>
      <c r="AAR155" s="6"/>
      <c r="AAS155" s="6"/>
      <c r="AAT155" s="6"/>
      <c r="AAU155" s="6"/>
      <c r="AAV155" s="6"/>
      <c r="AAW155" s="6"/>
      <c r="AAX155" s="6"/>
      <c r="AAY155" s="6"/>
      <c r="AAZ155" s="6"/>
      <c r="ABA155" s="6"/>
      <c r="ABB155" s="6"/>
      <c r="ABC155" s="6"/>
      <c r="ABD155" s="6"/>
      <c r="ABE155" s="6"/>
      <c r="ABF155" s="6"/>
      <c r="ABG155" s="6"/>
      <c r="ABH155" s="6"/>
      <c r="ABI155" s="6"/>
      <c r="ABJ155" s="6"/>
      <c r="ABK155" s="6"/>
      <c r="ABL155" s="6"/>
      <c r="ABM155" s="6"/>
      <c r="ABN155" s="6"/>
      <c r="ABO155" s="6"/>
      <c r="ABP155" s="6"/>
      <c r="ABQ155" s="6"/>
      <c r="ABR155" s="6"/>
      <c r="ABS155" s="6"/>
      <c r="ABT155" s="6"/>
      <c r="ABU155" s="6"/>
      <c r="ABV155" s="6"/>
      <c r="ABW155" s="6"/>
      <c r="ABX155" s="6"/>
      <c r="ABY155" s="6"/>
      <c r="ABZ155" s="6"/>
      <c r="ACA155" s="6"/>
      <c r="ACB155" s="6"/>
      <c r="ACC155" s="6"/>
      <c r="ACD155" s="6"/>
      <c r="ACE155" s="6"/>
      <c r="ACF155" s="6"/>
      <c r="ACG155" s="6"/>
      <c r="ACH155" s="6"/>
      <c r="ACI155" s="6"/>
      <c r="ACJ155" s="6"/>
      <c r="ACK155" s="6"/>
      <c r="ACL155" s="6"/>
      <c r="ACM155" s="6"/>
      <c r="ACN155" s="6"/>
      <c r="ACO155" s="6"/>
      <c r="ACP155" s="6"/>
      <c r="ACQ155" s="6"/>
      <c r="ACR155" s="6"/>
      <c r="ACS155" s="6"/>
      <c r="ACT155" s="6"/>
      <c r="ACU155" s="6"/>
      <c r="ACV155" s="6"/>
      <c r="ACW155" s="6"/>
      <c r="ACX155" s="6"/>
      <c r="ACY155" s="6"/>
      <c r="ACZ155" s="6"/>
      <c r="ADA155" s="6"/>
      <c r="ADB155" s="6"/>
      <c r="ADC155" s="6"/>
      <c r="ADD155" s="6"/>
      <c r="ADE155" s="6"/>
      <c r="ADF155" s="6"/>
      <c r="ADG155" s="6"/>
      <c r="ADH155" s="6"/>
      <c r="ADI155" s="6"/>
      <c r="ADJ155" s="6"/>
    </row>
    <row r="156" spans="1:790" s="291" customFormat="1" x14ac:dyDescent="0.3">
      <c r="A156" s="399"/>
      <c r="B156" s="558" t="s">
        <v>111</v>
      </c>
      <c r="C156" s="366"/>
      <c r="D156" s="367"/>
      <c r="E156" s="367"/>
      <c r="F156" s="367"/>
      <c r="G156" s="427"/>
      <c r="H156" s="427"/>
      <c r="I156" s="369"/>
      <c r="J156" s="403"/>
      <c r="K156" s="363"/>
      <c r="L156" s="370"/>
      <c r="M156" s="490"/>
      <c r="N156" s="489" t="str">
        <f t="shared" si="138"/>
        <v/>
      </c>
      <c r="O156" s="429"/>
      <c r="Q156" s="497"/>
      <c r="R156" s="481"/>
      <c r="S156" s="514"/>
      <c r="T156" s="515" t="str">
        <f t="shared" si="143"/>
        <v/>
      </c>
      <c r="U156" s="482" t="str">
        <f t="shared" si="144"/>
        <v/>
      </c>
      <c r="V156" s="514"/>
      <c r="W156" s="515" t="str">
        <f t="shared" si="145"/>
        <v/>
      </c>
      <c r="X156" s="507"/>
      <c r="Y156" s="507"/>
      <c r="Z156" s="478"/>
      <c r="AA156" s="471"/>
      <c r="AB156" s="471"/>
      <c r="AC156" s="471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6"/>
      <c r="KZ156" s="6"/>
      <c r="LA156" s="6"/>
      <c r="LB156" s="6"/>
      <c r="LC156" s="6"/>
      <c r="LD156" s="6"/>
      <c r="LE156" s="6"/>
      <c r="LF156" s="6"/>
      <c r="LG156" s="6"/>
      <c r="LH156" s="6"/>
      <c r="LI156" s="6"/>
      <c r="LJ156" s="6"/>
      <c r="LK156" s="6"/>
      <c r="LL156" s="6"/>
      <c r="LM156" s="6"/>
      <c r="LN156" s="6"/>
      <c r="LO156" s="6"/>
      <c r="LP156" s="6"/>
      <c r="LQ156" s="6"/>
      <c r="LR156" s="6"/>
      <c r="LS156" s="6"/>
      <c r="LT156" s="6"/>
      <c r="LU156" s="6"/>
      <c r="LV156" s="6"/>
      <c r="LW156" s="6"/>
      <c r="LX156" s="6"/>
      <c r="LY156" s="6"/>
      <c r="LZ156" s="6"/>
      <c r="MA156" s="6"/>
      <c r="MB156" s="6"/>
      <c r="MC156" s="6"/>
      <c r="MD156" s="6"/>
      <c r="ME156" s="6"/>
      <c r="MF156" s="6"/>
      <c r="MG156" s="6"/>
      <c r="MH156" s="6"/>
      <c r="MI156" s="6"/>
      <c r="MJ156" s="6"/>
      <c r="MK156" s="6"/>
      <c r="ML156" s="6"/>
      <c r="MM156" s="6"/>
      <c r="MN156" s="6"/>
      <c r="MO156" s="6"/>
      <c r="MP156" s="6"/>
      <c r="MQ156" s="6"/>
      <c r="MR156" s="6"/>
      <c r="MS156" s="6"/>
      <c r="MT156" s="6"/>
      <c r="MU156" s="6"/>
      <c r="MV156" s="6"/>
      <c r="MW156" s="6"/>
      <c r="MX156" s="6"/>
      <c r="MY156" s="6"/>
      <c r="MZ156" s="6"/>
      <c r="NA156" s="6"/>
      <c r="NB156" s="6"/>
      <c r="NC156" s="6"/>
      <c r="ND156" s="6"/>
      <c r="NE156" s="6"/>
      <c r="NF156" s="6"/>
      <c r="NG156" s="6"/>
      <c r="NH156" s="6"/>
      <c r="NI156" s="6"/>
      <c r="NJ156" s="6"/>
      <c r="NK156" s="6"/>
      <c r="NL156" s="6"/>
      <c r="NM156" s="6"/>
      <c r="NN156" s="6"/>
      <c r="NO156" s="6"/>
      <c r="NP156" s="6"/>
      <c r="NQ156" s="6"/>
      <c r="NR156" s="6"/>
      <c r="NS156" s="6"/>
      <c r="NT156" s="6"/>
      <c r="NU156" s="6"/>
      <c r="NV156" s="6"/>
      <c r="NW156" s="6"/>
      <c r="NX156" s="6"/>
      <c r="NY156" s="6"/>
      <c r="NZ156" s="6"/>
      <c r="OA156" s="6"/>
      <c r="OB156" s="6"/>
      <c r="OC156" s="6"/>
      <c r="OD156" s="6"/>
      <c r="OE156" s="6"/>
      <c r="OF156" s="6"/>
      <c r="OG156" s="6"/>
      <c r="OH156" s="6"/>
      <c r="OI156" s="6"/>
      <c r="OJ156" s="6"/>
      <c r="OK156" s="6"/>
      <c r="OL156" s="6"/>
      <c r="OM156" s="6"/>
      <c r="ON156" s="6"/>
      <c r="OO156" s="6"/>
      <c r="OP156" s="6"/>
      <c r="OQ156" s="6"/>
      <c r="OR156" s="6"/>
      <c r="OS156" s="6"/>
      <c r="OT156" s="6"/>
      <c r="OU156" s="6"/>
      <c r="OV156" s="6"/>
      <c r="OW156" s="6"/>
      <c r="OX156" s="6"/>
      <c r="OY156" s="6"/>
      <c r="OZ156" s="6"/>
      <c r="PA156" s="6"/>
      <c r="PB156" s="6"/>
      <c r="PC156" s="6"/>
      <c r="PD156" s="6"/>
      <c r="PE156" s="6"/>
      <c r="PF156" s="6"/>
      <c r="PG156" s="6"/>
      <c r="PH156" s="6"/>
      <c r="PI156" s="6"/>
      <c r="PJ156" s="6"/>
      <c r="PK156" s="6"/>
      <c r="PL156" s="6"/>
      <c r="PM156" s="6"/>
      <c r="PN156" s="6"/>
      <c r="PO156" s="6"/>
      <c r="PP156" s="6"/>
      <c r="PQ156" s="6"/>
      <c r="PR156" s="6"/>
      <c r="PS156" s="6"/>
      <c r="PT156" s="6"/>
      <c r="PU156" s="6"/>
      <c r="PV156" s="6"/>
      <c r="PW156" s="6"/>
      <c r="PX156" s="6"/>
      <c r="PY156" s="6"/>
      <c r="PZ156" s="6"/>
      <c r="QA156" s="6"/>
      <c r="QB156" s="6"/>
      <c r="QC156" s="6"/>
      <c r="QD156" s="6"/>
      <c r="QE156" s="6"/>
      <c r="QF156" s="6"/>
      <c r="QG156" s="6"/>
      <c r="QH156" s="6"/>
      <c r="QI156" s="6"/>
      <c r="QJ156" s="6"/>
      <c r="QK156" s="6"/>
      <c r="QL156" s="6"/>
      <c r="QM156" s="6"/>
      <c r="QN156" s="6"/>
      <c r="QO156" s="6"/>
      <c r="QP156" s="6"/>
      <c r="QQ156" s="6"/>
      <c r="QR156" s="6"/>
      <c r="QS156" s="6"/>
      <c r="QT156" s="6"/>
      <c r="QU156" s="6"/>
      <c r="QV156" s="6"/>
      <c r="QW156" s="6"/>
      <c r="QX156" s="6"/>
      <c r="QY156" s="6"/>
      <c r="QZ156" s="6"/>
      <c r="RA156" s="6"/>
      <c r="RB156" s="6"/>
      <c r="RC156" s="6"/>
      <c r="RD156" s="6"/>
      <c r="RE156" s="6"/>
      <c r="RF156" s="6"/>
      <c r="RG156" s="6"/>
      <c r="RH156" s="6"/>
      <c r="RI156" s="6"/>
      <c r="RJ156" s="6"/>
      <c r="RK156" s="6"/>
      <c r="RL156" s="6"/>
      <c r="RM156" s="6"/>
      <c r="RN156" s="6"/>
      <c r="RO156" s="6"/>
      <c r="RP156" s="6"/>
      <c r="RQ156" s="6"/>
      <c r="RR156" s="6"/>
      <c r="RS156" s="6"/>
      <c r="RT156" s="6"/>
      <c r="RU156" s="6"/>
      <c r="RV156" s="6"/>
      <c r="RW156" s="6"/>
      <c r="RX156" s="6"/>
      <c r="RY156" s="6"/>
      <c r="RZ156" s="6"/>
      <c r="SA156" s="6"/>
      <c r="SB156" s="6"/>
      <c r="SC156" s="6"/>
      <c r="SD156" s="6"/>
      <c r="SE156" s="6"/>
      <c r="SF156" s="6"/>
      <c r="SG156" s="6"/>
      <c r="SH156" s="6"/>
      <c r="SI156" s="6"/>
      <c r="SJ156" s="6"/>
      <c r="SK156" s="6"/>
      <c r="SL156" s="6"/>
      <c r="SM156" s="6"/>
      <c r="SN156" s="6"/>
      <c r="SO156" s="6"/>
      <c r="SP156" s="6"/>
      <c r="SQ156" s="6"/>
      <c r="SR156" s="6"/>
      <c r="SS156" s="6"/>
      <c r="ST156" s="6"/>
      <c r="SU156" s="6"/>
      <c r="SV156" s="6"/>
      <c r="SW156" s="6"/>
      <c r="SX156" s="6"/>
      <c r="SY156" s="6"/>
      <c r="SZ156" s="6"/>
      <c r="TA156" s="6"/>
      <c r="TB156" s="6"/>
      <c r="TC156" s="6"/>
      <c r="TD156" s="6"/>
      <c r="TE156" s="6"/>
      <c r="TF156" s="6"/>
      <c r="TG156" s="6"/>
      <c r="TH156" s="6"/>
      <c r="TI156" s="6"/>
      <c r="TJ156" s="6"/>
      <c r="TK156" s="6"/>
      <c r="TL156" s="6"/>
      <c r="TM156" s="6"/>
      <c r="TN156" s="6"/>
      <c r="TO156" s="6"/>
      <c r="TP156" s="6"/>
      <c r="TQ156" s="6"/>
      <c r="TR156" s="6"/>
      <c r="TS156" s="6"/>
      <c r="TT156" s="6"/>
      <c r="TU156" s="6"/>
      <c r="TV156" s="6"/>
      <c r="TW156" s="6"/>
      <c r="TX156" s="6"/>
      <c r="TY156" s="6"/>
      <c r="TZ156" s="6"/>
      <c r="UA156" s="6"/>
      <c r="UB156" s="6"/>
      <c r="UC156" s="6"/>
      <c r="UD156" s="6"/>
      <c r="UE156" s="6"/>
      <c r="UF156" s="6"/>
      <c r="UG156" s="6"/>
      <c r="UH156" s="6"/>
      <c r="UI156" s="6"/>
      <c r="UJ156" s="6"/>
      <c r="UK156" s="6"/>
      <c r="UL156" s="6"/>
      <c r="UM156" s="6"/>
      <c r="UN156" s="6"/>
      <c r="UO156" s="6"/>
      <c r="UP156" s="6"/>
      <c r="UQ156" s="6"/>
      <c r="UR156" s="6"/>
      <c r="US156" s="6"/>
      <c r="UT156" s="6"/>
      <c r="UU156" s="6"/>
      <c r="UV156" s="6"/>
      <c r="UW156" s="6"/>
      <c r="UX156" s="6"/>
      <c r="UY156" s="6"/>
      <c r="UZ156" s="6"/>
      <c r="VA156" s="6"/>
      <c r="VB156" s="6"/>
      <c r="VC156" s="6"/>
      <c r="VD156" s="6"/>
      <c r="VE156" s="6"/>
      <c r="VF156" s="6"/>
      <c r="VG156" s="6"/>
      <c r="VH156" s="6"/>
      <c r="VI156" s="6"/>
      <c r="VJ156" s="6"/>
      <c r="VK156" s="6"/>
      <c r="VL156" s="6"/>
      <c r="VM156" s="6"/>
      <c r="VN156" s="6"/>
      <c r="VO156" s="6"/>
      <c r="VP156" s="6"/>
      <c r="VQ156" s="6"/>
      <c r="VR156" s="6"/>
      <c r="VS156" s="6"/>
      <c r="VT156" s="6"/>
      <c r="VU156" s="6"/>
      <c r="VV156" s="6"/>
      <c r="VW156" s="6"/>
      <c r="VX156" s="6"/>
      <c r="VY156" s="6"/>
      <c r="VZ156" s="6"/>
      <c r="WA156" s="6"/>
      <c r="WB156" s="6"/>
      <c r="WC156" s="6"/>
      <c r="WD156" s="6"/>
      <c r="WE156" s="6"/>
      <c r="WF156" s="6"/>
      <c r="WG156" s="6"/>
      <c r="WH156" s="6"/>
      <c r="WI156" s="6"/>
      <c r="WJ156" s="6"/>
      <c r="WK156" s="6"/>
      <c r="WL156" s="6"/>
      <c r="WM156" s="6"/>
      <c r="WN156" s="6"/>
      <c r="WO156" s="6"/>
      <c r="WP156" s="6"/>
      <c r="WQ156" s="6"/>
      <c r="WR156" s="6"/>
      <c r="WS156" s="6"/>
      <c r="WT156" s="6"/>
      <c r="WU156" s="6"/>
      <c r="WV156" s="6"/>
      <c r="WW156" s="6"/>
      <c r="WX156" s="6"/>
      <c r="WY156" s="6"/>
      <c r="WZ156" s="6"/>
      <c r="XA156" s="6"/>
      <c r="XB156" s="6"/>
      <c r="XC156" s="6"/>
      <c r="XD156" s="6"/>
      <c r="XE156" s="6"/>
      <c r="XF156" s="6"/>
      <c r="XG156" s="6"/>
      <c r="XH156" s="6"/>
      <c r="XI156" s="6"/>
      <c r="XJ156" s="6"/>
      <c r="XK156" s="6"/>
      <c r="XL156" s="6"/>
      <c r="XM156" s="6"/>
      <c r="XN156" s="6"/>
      <c r="XO156" s="6"/>
      <c r="XP156" s="6"/>
      <c r="XQ156" s="6"/>
      <c r="XR156" s="6"/>
      <c r="XS156" s="6"/>
      <c r="XT156" s="6"/>
      <c r="XU156" s="6"/>
      <c r="XV156" s="6"/>
      <c r="XW156" s="6"/>
      <c r="XX156" s="6"/>
      <c r="XY156" s="6"/>
      <c r="XZ156" s="6"/>
      <c r="YA156" s="6"/>
      <c r="YB156" s="6"/>
      <c r="YC156" s="6"/>
      <c r="YD156" s="6"/>
      <c r="YE156" s="6"/>
      <c r="YF156" s="6"/>
      <c r="YG156" s="6"/>
      <c r="YH156" s="6"/>
      <c r="YI156" s="6"/>
      <c r="YJ156" s="6"/>
      <c r="YK156" s="6"/>
      <c r="YL156" s="6"/>
      <c r="YM156" s="6"/>
      <c r="YN156" s="6"/>
      <c r="YO156" s="6"/>
      <c r="YP156" s="6"/>
      <c r="YQ156" s="6"/>
      <c r="YR156" s="6"/>
      <c r="YS156" s="6"/>
      <c r="YT156" s="6"/>
      <c r="YU156" s="6"/>
      <c r="YV156" s="6"/>
      <c r="YW156" s="6"/>
      <c r="YX156" s="6"/>
      <c r="YY156" s="6"/>
      <c r="YZ156" s="6"/>
      <c r="ZA156" s="6"/>
      <c r="ZB156" s="6"/>
      <c r="ZC156" s="6"/>
      <c r="ZD156" s="6"/>
      <c r="ZE156" s="6"/>
      <c r="ZF156" s="6"/>
      <c r="ZG156" s="6"/>
      <c r="ZH156" s="6"/>
      <c r="ZI156" s="6"/>
      <c r="ZJ156" s="6"/>
      <c r="ZK156" s="6"/>
      <c r="ZL156" s="6"/>
      <c r="ZM156" s="6"/>
      <c r="ZN156" s="6"/>
      <c r="ZO156" s="6"/>
      <c r="ZP156" s="6"/>
      <c r="ZQ156" s="6"/>
      <c r="ZR156" s="6"/>
      <c r="ZS156" s="6"/>
      <c r="ZT156" s="6"/>
      <c r="ZU156" s="6"/>
      <c r="ZV156" s="6"/>
      <c r="ZW156" s="6"/>
      <c r="ZX156" s="6"/>
      <c r="ZY156" s="6"/>
      <c r="ZZ156" s="6"/>
      <c r="AAA156" s="6"/>
      <c r="AAB156" s="6"/>
      <c r="AAC156" s="6"/>
      <c r="AAD156" s="6"/>
      <c r="AAE156" s="6"/>
      <c r="AAF156" s="6"/>
      <c r="AAG156" s="6"/>
      <c r="AAH156" s="6"/>
      <c r="AAI156" s="6"/>
      <c r="AAJ156" s="6"/>
      <c r="AAK156" s="6"/>
      <c r="AAL156" s="6"/>
      <c r="AAM156" s="6"/>
      <c r="AAN156" s="6"/>
      <c r="AAO156" s="6"/>
      <c r="AAP156" s="6"/>
      <c r="AAQ156" s="6"/>
      <c r="AAR156" s="6"/>
      <c r="AAS156" s="6"/>
      <c r="AAT156" s="6"/>
      <c r="AAU156" s="6"/>
      <c r="AAV156" s="6"/>
      <c r="AAW156" s="6"/>
      <c r="AAX156" s="6"/>
      <c r="AAY156" s="6"/>
      <c r="AAZ156" s="6"/>
      <c r="ABA156" s="6"/>
      <c r="ABB156" s="6"/>
      <c r="ABC156" s="6"/>
      <c r="ABD156" s="6"/>
      <c r="ABE156" s="6"/>
      <c r="ABF156" s="6"/>
      <c r="ABG156" s="6"/>
      <c r="ABH156" s="6"/>
      <c r="ABI156" s="6"/>
      <c r="ABJ156" s="6"/>
      <c r="ABK156" s="6"/>
      <c r="ABL156" s="6"/>
      <c r="ABM156" s="6"/>
      <c r="ABN156" s="6"/>
      <c r="ABO156" s="6"/>
      <c r="ABP156" s="6"/>
      <c r="ABQ156" s="6"/>
      <c r="ABR156" s="6"/>
      <c r="ABS156" s="6"/>
      <c r="ABT156" s="6"/>
      <c r="ABU156" s="6"/>
      <c r="ABV156" s="6"/>
      <c r="ABW156" s="6"/>
      <c r="ABX156" s="6"/>
      <c r="ABY156" s="6"/>
      <c r="ABZ156" s="6"/>
      <c r="ACA156" s="6"/>
      <c r="ACB156" s="6"/>
      <c r="ACC156" s="6"/>
      <c r="ACD156" s="6"/>
      <c r="ACE156" s="6"/>
      <c r="ACF156" s="6"/>
      <c r="ACG156" s="6"/>
      <c r="ACH156" s="6"/>
      <c r="ACI156" s="6"/>
      <c r="ACJ156" s="6"/>
      <c r="ACK156" s="6"/>
      <c r="ACL156" s="6"/>
      <c r="ACM156" s="6"/>
      <c r="ACN156" s="6"/>
      <c r="ACO156" s="6"/>
      <c r="ACP156" s="6"/>
      <c r="ACQ156" s="6"/>
      <c r="ACR156" s="6"/>
      <c r="ACS156" s="6"/>
      <c r="ACT156" s="6"/>
      <c r="ACU156" s="6"/>
      <c r="ACV156" s="6"/>
      <c r="ACW156" s="6"/>
      <c r="ACX156" s="6"/>
      <c r="ACY156" s="6"/>
      <c r="ACZ156" s="6"/>
      <c r="ADA156" s="6"/>
      <c r="ADB156" s="6"/>
      <c r="ADC156" s="6"/>
      <c r="ADD156" s="6"/>
      <c r="ADE156" s="6"/>
      <c r="ADF156" s="6"/>
      <c r="ADG156" s="6"/>
      <c r="ADH156" s="6"/>
      <c r="ADI156" s="6"/>
      <c r="ADJ156" s="6"/>
    </row>
    <row r="157" spans="1:790" s="291" customFormat="1" ht="69" x14ac:dyDescent="0.3">
      <c r="A157" s="399"/>
      <c r="B157" s="430" t="s">
        <v>224</v>
      </c>
      <c r="C157" s="366">
        <v>1</v>
      </c>
      <c r="D157" s="367"/>
      <c r="E157" s="367"/>
      <c r="F157" s="362"/>
      <c r="G157" s="362"/>
      <c r="H157" s="362">
        <f>+PRODUCT(C157:G157)</f>
        <v>1</v>
      </c>
      <c r="I157" s="369" t="s">
        <v>30</v>
      </c>
      <c r="J157" s="362">
        <f>+PRODUCT(C157:G157)</f>
        <v>1</v>
      </c>
      <c r="K157" s="431">
        <v>286380</v>
      </c>
      <c r="L157" s="370"/>
      <c r="M157" s="490"/>
      <c r="N157" s="489" t="str">
        <f t="shared" si="138"/>
        <v/>
      </c>
      <c r="O157" s="308" t="s">
        <v>208</v>
      </c>
      <c r="Q157" s="497" t="s">
        <v>208</v>
      </c>
      <c r="R157" s="481">
        <f t="shared" si="148"/>
        <v>1</v>
      </c>
      <c r="S157" s="514"/>
      <c r="T157" s="515" t="str">
        <f t="shared" si="143"/>
        <v/>
      </c>
      <c r="U157" s="482">
        <f t="shared" si="144"/>
        <v>1</v>
      </c>
      <c r="V157" s="514"/>
      <c r="W157" s="515" t="str">
        <f t="shared" si="145"/>
        <v/>
      </c>
      <c r="X157" s="507">
        <f t="shared" ref="X157:X159" si="157">V157+S157</f>
        <v>0</v>
      </c>
      <c r="Y157" s="520">
        <f t="shared" ref="Y157:Y159" si="158">M157-X157</f>
        <v>0</v>
      </c>
      <c r="Z157" s="521" t="e">
        <f t="shared" ref="Z157:Z159" si="159">Y157/M157</f>
        <v>#DIV/0!</v>
      </c>
      <c r="AA157" s="471"/>
      <c r="AB157" s="471"/>
      <c r="AC157" s="471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6"/>
      <c r="KZ157" s="6"/>
      <c r="LA157" s="6"/>
      <c r="LB157" s="6"/>
      <c r="LC157" s="6"/>
      <c r="LD157" s="6"/>
      <c r="LE157" s="6"/>
      <c r="LF157" s="6"/>
      <c r="LG157" s="6"/>
      <c r="LH157" s="6"/>
      <c r="LI157" s="6"/>
      <c r="LJ157" s="6"/>
      <c r="LK157" s="6"/>
      <c r="LL157" s="6"/>
      <c r="LM157" s="6"/>
      <c r="LN157" s="6"/>
      <c r="LO157" s="6"/>
      <c r="LP157" s="6"/>
      <c r="LQ157" s="6"/>
      <c r="LR157" s="6"/>
      <c r="LS157" s="6"/>
      <c r="LT157" s="6"/>
      <c r="LU157" s="6"/>
      <c r="LV157" s="6"/>
      <c r="LW157" s="6"/>
      <c r="LX157" s="6"/>
      <c r="LY157" s="6"/>
      <c r="LZ157" s="6"/>
      <c r="MA157" s="6"/>
      <c r="MB157" s="6"/>
      <c r="MC157" s="6"/>
      <c r="MD157" s="6"/>
      <c r="ME157" s="6"/>
      <c r="MF157" s="6"/>
      <c r="MG157" s="6"/>
      <c r="MH157" s="6"/>
      <c r="MI157" s="6"/>
      <c r="MJ157" s="6"/>
      <c r="MK157" s="6"/>
      <c r="ML157" s="6"/>
      <c r="MM157" s="6"/>
      <c r="MN157" s="6"/>
      <c r="MO157" s="6"/>
      <c r="MP157" s="6"/>
      <c r="MQ157" s="6"/>
      <c r="MR157" s="6"/>
      <c r="MS157" s="6"/>
      <c r="MT157" s="6"/>
      <c r="MU157" s="6"/>
      <c r="MV157" s="6"/>
      <c r="MW157" s="6"/>
      <c r="MX157" s="6"/>
      <c r="MY157" s="6"/>
      <c r="MZ157" s="6"/>
      <c r="NA157" s="6"/>
      <c r="NB157" s="6"/>
      <c r="NC157" s="6"/>
      <c r="ND157" s="6"/>
      <c r="NE157" s="6"/>
      <c r="NF157" s="6"/>
      <c r="NG157" s="6"/>
      <c r="NH157" s="6"/>
      <c r="NI157" s="6"/>
      <c r="NJ157" s="6"/>
      <c r="NK157" s="6"/>
      <c r="NL157" s="6"/>
      <c r="NM157" s="6"/>
      <c r="NN157" s="6"/>
      <c r="NO157" s="6"/>
      <c r="NP157" s="6"/>
      <c r="NQ157" s="6"/>
      <c r="NR157" s="6"/>
      <c r="NS157" s="6"/>
      <c r="NT157" s="6"/>
      <c r="NU157" s="6"/>
      <c r="NV157" s="6"/>
      <c r="NW157" s="6"/>
      <c r="NX157" s="6"/>
      <c r="NY157" s="6"/>
      <c r="NZ157" s="6"/>
      <c r="OA157" s="6"/>
      <c r="OB157" s="6"/>
      <c r="OC157" s="6"/>
      <c r="OD157" s="6"/>
      <c r="OE157" s="6"/>
      <c r="OF157" s="6"/>
      <c r="OG157" s="6"/>
      <c r="OH157" s="6"/>
      <c r="OI157" s="6"/>
      <c r="OJ157" s="6"/>
      <c r="OK157" s="6"/>
      <c r="OL157" s="6"/>
      <c r="OM157" s="6"/>
      <c r="ON157" s="6"/>
      <c r="OO157" s="6"/>
      <c r="OP157" s="6"/>
      <c r="OQ157" s="6"/>
      <c r="OR157" s="6"/>
      <c r="OS157" s="6"/>
      <c r="OT157" s="6"/>
      <c r="OU157" s="6"/>
      <c r="OV157" s="6"/>
      <c r="OW157" s="6"/>
      <c r="OX157" s="6"/>
      <c r="OY157" s="6"/>
      <c r="OZ157" s="6"/>
      <c r="PA157" s="6"/>
      <c r="PB157" s="6"/>
      <c r="PC157" s="6"/>
      <c r="PD157" s="6"/>
      <c r="PE157" s="6"/>
      <c r="PF157" s="6"/>
      <c r="PG157" s="6"/>
      <c r="PH157" s="6"/>
      <c r="PI157" s="6"/>
      <c r="PJ157" s="6"/>
      <c r="PK157" s="6"/>
      <c r="PL157" s="6"/>
      <c r="PM157" s="6"/>
      <c r="PN157" s="6"/>
      <c r="PO157" s="6"/>
      <c r="PP157" s="6"/>
      <c r="PQ157" s="6"/>
      <c r="PR157" s="6"/>
      <c r="PS157" s="6"/>
      <c r="PT157" s="6"/>
      <c r="PU157" s="6"/>
      <c r="PV157" s="6"/>
      <c r="PW157" s="6"/>
      <c r="PX157" s="6"/>
      <c r="PY157" s="6"/>
      <c r="PZ157" s="6"/>
      <c r="QA157" s="6"/>
      <c r="QB157" s="6"/>
      <c r="QC157" s="6"/>
      <c r="QD157" s="6"/>
      <c r="QE157" s="6"/>
      <c r="QF157" s="6"/>
      <c r="QG157" s="6"/>
      <c r="QH157" s="6"/>
      <c r="QI157" s="6"/>
      <c r="QJ157" s="6"/>
      <c r="QK157" s="6"/>
      <c r="QL157" s="6"/>
      <c r="QM157" s="6"/>
      <c r="QN157" s="6"/>
      <c r="QO157" s="6"/>
      <c r="QP157" s="6"/>
      <c r="QQ157" s="6"/>
      <c r="QR157" s="6"/>
      <c r="QS157" s="6"/>
      <c r="QT157" s="6"/>
      <c r="QU157" s="6"/>
      <c r="QV157" s="6"/>
      <c r="QW157" s="6"/>
      <c r="QX157" s="6"/>
      <c r="QY157" s="6"/>
      <c r="QZ157" s="6"/>
      <c r="RA157" s="6"/>
      <c r="RB157" s="6"/>
      <c r="RC157" s="6"/>
      <c r="RD157" s="6"/>
      <c r="RE157" s="6"/>
      <c r="RF157" s="6"/>
      <c r="RG157" s="6"/>
      <c r="RH157" s="6"/>
      <c r="RI157" s="6"/>
      <c r="RJ157" s="6"/>
      <c r="RK157" s="6"/>
      <c r="RL157" s="6"/>
      <c r="RM157" s="6"/>
      <c r="RN157" s="6"/>
      <c r="RO157" s="6"/>
      <c r="RP157" s="6"/>
      <c r="RQ157" s="6"/>
      <c r="RR157" s="6"/>
      <c r="RS157" s="6"/>
      <c r="RT157" s="6"/>
      <c r="RU157" s="6"/>
      <c r="RV157" s="6"/>
      <c r="RW157" s="6"/>
      <c r="RX157" s="6"/>
      <c r="RY157" s="6"/>
      <c r="RZ157" s="6"/>
      <c r="SA157" s="6"/>
      <c r="SB157" s="6"/>
      <c r="SC157" s="6"/>
      <c r="SD157" s="6"/>
      <c r="SE157" s="6"/>
      <c r="SF157" s="6"/>
      <c r="SG157" s="6"/>
      <c r="SH157" s="6"/>
      <c r="SI157" s="6"/>
      <c r="SJ157" s="6"/>
      <c r="SK157" s="6"/>
      <c r="SL157" s="6"/>
      <c r="SM157" s="6"/>
      <c r="SN157" s="6"/>
      <c r="SO157" s="6"/>
      <c r="SP157" s="6"/>
      <c r="SQ157" s="6"/>
      <c r="SR157" s="6"/>
      <c r="SS157" s="6"/>
      <c r="ST157" s="6"/>
      <c r="SU157" s="6"/>
      <c r="SV157" s="6"/>
      <c r="SW157" s="6"/>
      <c r="SX157" s="6"/>
      <c r="SY157" s="6"/>
      <c r="SZ157" s="6"/>
      <c r="TA157" s="6"/>
      <c r="TB157" s="6"/>
      <c r="TC157" s="6"/>
      <c r="TD157" s="6"/>
      <c r="TE157" s="6"/>
      <c r="TF157" s="6"/>
      <c r="TG157" s="6"/>
      <c r="TH157" s="6"/>
      <c r="TI157" s="6"/>
      <c r="TJ157" s="6"/>
      <c r="TK157" s="6"/>
      <c r="TL157" s="6"/>
      <c r="TM157" s="6"/>
      <c r="TN157" s="6"/>
      <c r="TO157" s="6"/>
      <c r="TP157" s="6"/>
      <c r="TQ157" s="6"/>
      <c r="TR157" s="6"/>
      <c r="TS157" s="6"/>
      <c r="TT157" s="6"/>
      <c r="TU157" s="6"/>
      <c r="TV157" s="6"/>
      <c r="TW157" s="6"/>
      <c r="TX157" s="6"/>
      <c r="TY157" s="6"/>
      <c r="TZ157" s="6"/>
      <c r="UA157" s="6"/>
      <c r="UB157" s="6"/>
      <c r="UC157" s="6"/>
      <c r="UD157" s="6"/>
      <c r="UE157" s="6"/>
      <c r="UF157" s="6"/>
      <c r="UG157" s="6"/>
      <c r="UH157" s="6"/>
      <c r="UI157" s="6"/>
      <c r="UJ157" s="6"/>
      <c r="UK157" s="6"/>
      <c r="UL157" s="6"/>
      <c r="UM157" s="6"/>
      <c r="UN157" s="6"/>
      <c r="UO157" s="6"/>
      <c r="UP157" s="6"/>
      <c r="UQ157" s="6"/>
      <c r="UR157" s="6"/>
      <c r="US157" s="6"/>
      <c r="UT157" s="6"/>
      <c r="UU157" s="6"/>
      <c r="UV157" s="6"/>
      <c r="UW157" s="6"/>
      <c r="UX157" s="6"/>
      <c r="UY157" s="6"/>
      <c r="UZ157" s="6"/>
      <c r="VA157" s="6"/>
      <c r="VB157" s="6"/>
      <c r="VC157" s="6"/>
      <c r="VD157" s="6"/>
      <c r="VE157" s="6"/>
      <c r="VF157" s="6"/>
      <c r="VG157" s="6"/>
      <c r="VH157" s="6"/>
      <c r="VI157" s="6"/>
      <c r="VJ157" s="6"/>
      <c r="VK157" s="6"/>
      <c r="VL157" s="6"/>
      <c r="VM157" s="6"/>
      <c r="VN157" s="6"/>
      <c r="VO157" s="6"/>
      <c r="VP157" s="6"/>
      <c r="VQ157" s="6"/>
      <c r="VR157" s="6"/>
      <c r="VS157" s="6"/>
      <c r="VT157" s="6"/>
      <c r="VU157" s="6"/>
      <c r="VV157" s="6"/>
      <c r="VW157" s="6"/>
      <c r="VX157" s="6"/>
      <c r="VY157" s="6"/>
      <c r="VZ157" s="6"/>
      <c r="WA157" s="6"/>
      <c r="WB157" s="6"/>
      <c r="WC157" s="6"/>
      <c r="WD157" s="6"/>
      <c r="WE157" s="6"/>
      <c r="WF157" s="6"/>
      <c r="WG157" s="6"/>
      <c r="WH157" s="6"/>
      <c r="WI157" s="6"/>
      <c r="WJ157" s="6"/>
      <c r="WK157" s="6"/>
      <c r="WL157" s="6"/>
      <c r="WM157" s="6"/>
      <c r="WN157" s="6"/>
      <c r="WO157" s="6"/>
      <c r="WP157" s="6"/>
      <c r="WQ157" s="6"/>
      <c r="WR157" s="6"/>
      <c r="WS157" s="6"/>
      <c r="WT157" s="6"/>
      <c r="WU157" s="6"/>
      <c r="WV157" s="6"/>
      <c r="WW157" s="6"/>
      <c r="WX157" s="6"/>
      <c r="WY157" s="6"/>
      <c r="WZ157" s="6"/>
      <c r="XA157" s="6"/>
      <c r="XB157" s="6"/>
      <c r="XC157" s="6"/>
      <c r="XD157" s="6"/>
      <c r="XE157" s="6"/>
      <c r="XF157" s="6"/>
      <c r="XG157" s="6"/>
      <c r="XH157" s="6"/>
      <c r="XI157" s="6"/>
      <c r="XJ157" s="6"/>
      <c r="XK157" s="6"/>
      <c r="XL157" s="6"/>
      <c r="XM157" s="6"/>
      <c r="XN157" s="6"/>
      <c r="XO157" s="6"/>
      <c r="XP157" s="6"/>
      <c r="XQ157" s="6"/>
      <c r="XR157" s="6"/>
      <c r="XS157" s="6"/>
      <c r="XT157" s="6"/>
      <c r="XU157" s="6"/>
      <c r="XV157" s="6"/>
      <c r="XW157" s="6"/>
      <c r="XX157" s="6"/>
      <c r="XY157" s="6"/>
      <c r="XZ157" s="6"/>
      <c r="YA157" s="6"/>
      <c r="YB157" s="6"/>
      <c r="YC157" s="6"/>
      <c r="YD157" s="6"/>
      <c r="YE157" s="6"/>
      <c r="YF157" s="6"/>
      <c r="YG157" s="6"/>
      <c r="YH157" s="6"/>
      <c r="YI157" s="6"/>
      <c r="YJ157" s="6"/>
      <c r="YK157" s="6"/>
      <c r="YL157" s="6"/>
      <c r="YM157" s="6"/>
      <c r="YN157" s="6"/>
      <c r="YO157" s="6"/>
      <c r="YP157" s="6"/>
      <c r="YQ157" s="6"/>
      <c r="YR157" s="6"/>
      <c r="YS157" s="6"/>
      <c r="YT157" s="6"/>
      <c r="YU157" s="6"/>
      <c r="YV157" s="6"/>
      <c r="YW157" s="6"/>
      <c r="YX157" s="6"/>
      <c r="YY157" s="6"/>
      <c r="YZ157" s="6"/>
      <c r="ZA157" s="6"/>
      <c r="ZB157" s="6"/>
      <c r="ZC157" s="6"/>
      <c r="ZD157" s="6"/>
      <c r="ZE157" s="6"/>
      <c r="ZF157" s="6"/>
      <c r="ZG157" s="6"/>
      <c r="ZH157" s="6"/>
      <c r="ZI157" s="6"/>
      <c r="ZJ157" s="6"/>
      <c r="ZK157" s="6"/>
      <c r="ZL157" s="6"/>
      <c r="ZM157" s="6"/>
      <c r="ZN157" s="6"/>
      <c r="ZO157" s="6"/>
      <c r="ZP157" s="6"/>
      <c r="ZQ157" s="6"/>
      <c r="ZR157" s="6"/>
      <c r="ZS157" s="6"/>
      <c r="ZT157" s="6"/>
      <c r="ZU157" s="6"/>
      <c r="ZV157" s="6"/>
      <c r="ZW157" s="6"/>
      <c r="ZX157" s="6"/>
      <c r="ZY157" s="6"/>
      <c r="ZZ157" s="6"/>
      <c r="AAA157" s="6"/>
      <c r="AAB157" s="6"/>
      <c r="AAC157" s="6"/>
      <c r="AAD157" s="6"/>
      <c r="AAE157" s="6"/>
      <c r="AAF157" s="6"/>
      <c r="AAG157" s="6"/>
      <c r="AAH157" s="6"/>
      <c r="AAI157" s="6"/>
      <c r="AAJ157" s="6"/>
      <c r="AAK157" s="6"/>
      <c r="AAL157" s="6"/>
      <c r="AAM157" s="6"/>
      <c r="AAN157" s="6"/>
      <c r="AAO157" s="6"/>
      <c r="AAP157" s="6"/>
      <c r="AAQ157" s="6"/>
      <c r="AAR157" s="6"/>
      <c r="AAS157" s="6"/>
      <c r="AAT157" s="6"/>
      <c r="AAU157" s="6"/>
      <c r="AAV157" s="6"/>
      <c r="AAW157" s="6"/>
      <c r="AAX157" s="6"/>
      <c r="AAY157" s="6"/>
      <c r="AAZ157" s="6"/>
      <c r="ABA157" s="6"/>
      <c r="ABB157" s="6"/>
      <c r="ABC157" s="6"/>
      <c r="ABD157" s="6"/>
      <c r="ABE157" s="6"/>
      <c r="ABF157" s="6"/>
      <c r="ABG157" s="6"/>
      <c r="ABH157" s="6"/>
      <c r="ABI157" s="6"/>
      <c r="ABJ157" s="6"/>
      <c r="ABK157" s="6"/>
      <c r="ABL157" s="6"/>
      <c r="ABM157" s="6"/>
      <c r="ABN157" s="6"/>
      <c r="ABO157" s="6"/>
      <c r="ABP157" s="6"/>
      <c r="ABQ157" s="6"/>
      <c r="ABR157" s="6"/>
      <c r="ABS157" s="6"/>
      <c r="ABT157" s="6"/>
      <c r="ABU157" s="6"/>
      <c r="ABV157" s="6"/>
      <c r="ABW157" s="6"/>
      <c r="ABX157" s="6"/>
      <c r="ABY157" s="6"/>
      <c r="ABZ157" s="6"/>
      <c r="ACA157" s="6"/>
      <c r="ACB157" s="6"/>
      <c r="ACC157" s="6"/>
      <c r="ACD157" s="6"/>
      <c r="ACE157" s="6"/>
      <c r="ACF157" s="6"/>
      <c r="ACG157" s="6"/>
      <c r="ACH157" s="6"/>
      <c r="ACI157" s="6"/>
      <c r="ACJ157" s="6"/>
      <c r="ACK157" s="6"/>
      <c r="ACL157" s="6"/>
      <c r="ACM157" s="6"/>
      <c r="ACN157" s="6"/>
      <c r="ACO157" s="6"/>
      <c r="ACP157" s="6"/>
      <c r="ACQ157" s="6"/>
      <c r="ACR157" s="6"/>
      <c r="ACS157" s="6"/>
      <c r="ACT157" s="6"/>
      <c r="ACU157" s="6"/>
      <c r="ACV157" s="6"/>
      <c r="ACW157" s="6"/>
      <c r="ACX157" s="6"/>
      <c r="ACY157" s="6"/>
      <c r="ACZ157" s="6"/>
      <c r="ADA157" s="6"/>
      <c r="ADB157" s="6"/>
      <c r="ADC157" s="6"/>
      <c r="ADD157" s="6"/>
      <c r="ADE157" s="6"/>
      <c r="ADF157" s="6"/>
      <c r="ADG157" s="6"/>
      <c r="ADH157" s="6"/>
      <c r="ADI157" s="6"/>
      <c r="ADJ157" s="6"/>
    </row>
    <row r="158" spans="1:790" s="291" customFormat="1" ht="41.4" x14ac:dyDescent="0.3">
      <c r="A158" s="399"/>
      <c r="B158" s="430" t="s">
        <v>201</v>
      </c>
      <c r="C158" s="366">
        <v>1</v>
      </c>
      <c r="D158" s="367"/>
      <c r="E158" s="367"/>
      <c r="F158" s="362"/>
      <c r="G158" s="362"/>
      <c r="H158" s="362">
        <f>+PRODUCT(C158:G158)</f>
        <v>1</v>
      </c>
      <c r="I158" s="369" t="s">
        <v>30</v>
      </c>
      <c r="J158" s="362">
        <f>+PRODUCT(C158:G158)</f>
        <v>1</v>
      </c>
      <c r="K158" s="432"/>
      <c r="L158" s="370">
        <f t="shared" ref="L158" si="160">J158*K158</f>
        <v>0</v>
      </c>
      <c r="M158" s="490"/>
      <c r="N158" s="489" t="str">
        <f t="shared" si="138"/>
        <v/>
      </c>
      <c r="O158" s="433" t="s">
        <v>210</v>
      </c>
      <c r="Q158" s="497" t="s">
        <v>210</v>
      </c>
      <c r="R158" s="481">
        <f t="shared" si="148"/>
        <v>1</v>
      </c>
      <c r="S158" s="514"/>
      <c r="T158" s="515" t="str">
        <f t="shared" si="143"/>
        <v/>
      </c>
      <c r="U158" s="482">
        <f t="shared" si="144"/>
        <v>1</v>
      </c>
      <c r="V158" s="514"/>
      <c r="W158" s="515" t="str">
        <f t="shared" si="145"/>
        <v/>
      </c>
      <c r="X158" s="507">
        <f t="shared" si="157"/>
        <v>0</v>
      </c>
      <c r="Y158" s="520">
        <f t="shared" si="158"/>
        <v>0</v>
      </c>
      <c r="Z158" s="521" t="e">
        <f t="shared" si="159"/>
        <v>#DIV/0!</v>
      </c>
      <c r="AA158" s="471"/>
      <c r="AB158" s="471"/>
      <c r="AC158" s="471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6"/>
      <c r="KZ158" s="6"/>
      <c r="LA158" s="6"/>
      <c r="LB158" s="6"/>
      <c r="LC158" s="6"/>
      <c r="LD158" s="6"/>
      <c r="LE158" s="6"/>
      <c r="LF158" s="6"/>
      <c r="LG158" s="6"/>
      <c r="LH158" s="6"/>
      <c r="LI158" s="6"/>
      <c r="LJ158" s="6"/>
      <c r="LK158" s="6"/>
      <c r="LL158" s="6"/>
      <c r="LM158" s="6"/>
      <c r="LN158" s="6"/>
      <c r="LO158" s="6"/>
      <c r="LP158" s="6"/>
      <c r="LQ158" s="6"/>
      <c r="LR158" s="6"/>
      <c r="LS158" s="6"/>
      <c r="LT158" s="6"/>
      <c r="LU158" s="6"/>
      <c r="LV158" s="6"/>
      <c r="LW158" s="6"/>
      <c r="LX158" s="6"/>
      <c r="LY158" s="6"/>
      <c r="LZ158" s="6"/>
      <c r="MA158" s="6"/>
      <c r="MB158" s="6"/>
      <c r="MC158" s="6"/>
      <c r="MD158" s="6"/>
      <c r="ME158" s="6"/>
      <c r="MF158" s="6"/>
      <c r="MG158" s="6"/>
      <c r="MH158" s="6"/>
      <c r="MI158" s="6"/>
      <c r="MJ158" s="6"/>
      <c r="MK158" s="6"/>
      <c r="ML158" s="6"/>
      <c r="MM158" s="6"/>
      <c r="MN158" s="6"/>
      <c r="MO158" s="6"/>
      <c r="MP158" s="6"/>
      <c r="MQ158" s="6"/>
      <c r="MR158" s="6"/>
      <c r="MS158" s="6"/>
      <c r="MT158" s="6"/>
      <c r="MU158" s="6"/>
      <c r="MV158" s="6"/>
      <c r="MW158" s="6"/>
      <c r="MX158" s="6"/>
      <c r="MY158" s="6"/>
      <c r="MZ158" s="6"/>
      <c r="NA158" s="6"/>
      <c r="NB158" s="6"/>
      <c r="NC158" s="6"/>
      <c r="ND158" s="6"/>
      <c r="NE158" s="6"/>
      <c r="NF158" s="6"/>
      <c r="NG158" s="6"/>
      <c r="NH158" s="6"/>
      <c r="NI158" s="6"/>
      <c r="NJ158" s="6"/>
      <c r="NK158" s="6"/>
      <c r="NL158" s="6"/>
      <c r="NM158" s="6"/>
      <c r="NN158" s="6"/>
      <c r="NO158" s="6"/>
      <c r="NP158" s="6"/>
      <c r="NQ158" s="6"/>
      <c r="NR158" s="6"/>
      <c r="NS158" s="6"/>
      <c r="NT158" s="6"/>
      <c r="NU158" s="6"/>
      <c r="NV158" s="6"/>
      <c r="NW158" s="6"/>
      <c r="NX158" s="6"/>
      <c r="NY158" s="6"/>
      <c r="NZ158" s="6"/>
      <c r="OA158" s="6"/>
      <c r="OB158" s="6"/>
      <c r="OC158" s="6"/>
      <c r="OD158" s="6"/>
      <c r="OE158" s="6"/>
      <c r="OF158" s="6"/>
      <c r="OG158" s="6"/>
      <c r="OH158" s="6"/>
      <c r="OI158" s="6"/>
      <c r="OJ158" s="6"/>
      <c r="OK158" s="6"/>
      <c r="OL158" s="6"/>
      <c r="OM158" s="6"/>
      <c r="ON158" s="6"/>
      <c r="OO158" s="6"/>
      <c r="OP158" s="6"/>
      <c r="OQ158" s="6"/>
      <c r="OR158" s="6"/>
      <c r="OS158" s="6"/>
      <c r="OT158" s="6"/>
      <c r="OU158" s="6"/>
      <c r="OV158" s="6"/>
      <c r="OW158" s="6"/>
      <c r="OX158" s="6"/>
      <c r="OY158" s="6"/>
      <c r="OZ158" s="6"/>
      <c r="PA158" s="6"/>
      <c r="PB158" s="6"/>
      <c r="PC158" s="6"/>
      <c r="PD158" s="6"/>
      <c r="PE158" s="6"/>
      <c r="PF158" s="6"/>
      <c r="PG158" s="6"/>
      <c r="PH158" s="6"/>
      <c r="PI158" s="6"/>
      <c r="PJ158" s="6"/>
      <c r="PK158" s="6"/>
      <c r="PL158" s="6"/>
      <c r="PM158" s="6"/>
      <c r="PN158" s="6"/>
      <c r="PO158" s="6"/>
      <c r="PP158" s="6"/>
      <c r="PQ158" s="6"/>
      <c r="PR158" s="6"/>
      <c r="PS158" s="6"/>
      <c r="PT158" s="6"/>
      <c r="PU158" s="6"/>
      <c r="PV158" s="6"/>
      <c r="PW158" s="6"/>
      <c r="PX158" s="6"/>
      <c r="PY158" s="6"/>
      <c r="PZ158" s="6"/>
      <c r="QA158" s="6"/>
      <c r="QB158" s="6"/>
      <c r="QC158" s="6"/>
      <c r="QD158" s="6"/>
      <c r="QE158" s="6"/>
      <c r="QF158" s="6"/>
      <c r="QG158" s="6"/>
      <c r="QH158" s="6"/>
      <c r="QI158" s="6"/>
      <c r="QJ158" s="6"/>
      <c r="QK158" s="6"/>
      <c r="QL158" s="6"/>
      <c r="QM158" s="6"/>
      <c r="QN158" s="6"/>
      <c r="QO158" s="6"/>
      <c r="QP158" s="6"/>
      <c r="QQ158" s="6"/>
      <c r="QR158" s="6"/>
      <c r="QS158" s="6"/>
      <c r="QT158" s="6"/>
      <c r="QU158" s="6"/>
      <c r="QV158" s="6"/>
      <c r="QW158" s="6"/>
      <c r="QX158" s="6"/>
      <c r="QY158" s="6"/>
      <c r="QZ158" s="6"/>
      <c r="RA158" s="6"/>
      <c r="RB158" s="6"/>
      <c r="RC158" s="6"/>
      <c r="RD158" s="6"/>
      <c r="RE158" s="6"/>
      <c r="RF158" s="6"/>
      <c r="RG158" s="6"/>
      <c r="RH158" s="6"/>
      <c r="RI158" s="6"/>
      <c r="RJ158" s="6"/>
      <c r="RK158" s="6"/>
      <c r="RL158" s="6"/>
      <c r="RM158" s="6"/>
      <c r="RN158" s="6"/>
      <c r="RO158" s="6"/>
      <c r="RP158" s="6"/>
      <c r="RQ158" s="6"/>
      <c r="RR158" s="6"/>
      <c r="RS158" s="6"/>
      <c r="RT158" s="6"/>
      <c r="RU158" s="6"/>
      <c r="RV158" s="6"/>
      <c r="RW158" s="6"/>
      <c r="RX158" s="6"/>
      <c r="RY158" s="6"/>
      <c r="RZ158" s="6"/>
      <c r="SA158" s="6"/>
      <c r="SB158" s="6"/>
      <c r="SC158" s="6"/>
      <c r="SD158" s="6"/>
      <c r="SE158" s="6"/>
      <c r="SF158" s="6"/>
      <c r="SG158" s="6"/>
      <c r="SH158" s="6"/>
      <c r="SI158" s="6"/>
      <c r="SJ158" s="6"/>
      <c r="SK158" s="6"/>
      <c r="SL158" s="6"/>
      <c r="SM158" s="6"/>
      <c r="SN158" s="6"/>
      <c r="SO158" s="6"/>
      <c r="SP158" s="6"/>
      <c r="SQ158" s="6"/>
      <c r="SR158" s="6"/>
      <c r="SS158" s="6"/>
      <c r="ST158" s="6"/>
      <c r="SU158" s="6"/>
      <c r="SV158" s="6"/>
      <c r="SW158" s="6"/>
      <c r="SX158" s="6"/>
      <c r="SY158" s="6"/>
      <c r="SZ158" s="6"/>
      <c r="TA158" s="6"/>
      <c r="TB158" s="6"/>
      <c r="TC158" s="6"/>
      <c r="TD158" s="6"/>
      <c r="TE158" s="6"/>
      <c r="TF158" s="6"/>
      <c r="TG158" s="6"/>
      <c r="TH158" s="6"/>
      <c r="TI158" s="6"/>
      <c r="TJ158" s="6"/>
      <c r="TK158" s="6"/>
      <c r="TL158" s="6"/>
      <c r="TM158" s="6"/>
      <c r="TN158" s="6"/>
      <c r="TO158" s="6"/>
      <c r="TP158" s="6"/>
      <c r="TQ158" s="6"/>
      <c r="TR158" s="6"/>
      <c r="TS158" s="6"/>
      <c r="TT158" s="6"/>
      <c r="TU158" s="6"/>
      <c r="TV158" s="6"/>
      <c r="TW158" s="6"/>
      <c r="TX158" s="6"/>
      <c r="TY158" s="6"/>
      <c r="TZ158" s="6"/>
      <c r="UA158" s="6"/>
      <c r="UB158" s="6"/>
      <c r="UC158" s="6"/>
      <c r="UD158" s="6"/>
      <c r="UE158" s="6"/>
      <c r="UF158" s="6"/>
      <c r="UG158" s="6"/>
      <c r="UH158" s="6"/>
      <c r="UI158" s="6"/>
      <c r="UJ158" s="6"/>
      <c r="UK158" s="6"/>
      <c r="UL158" s="6"/>
      <c r="UM158" s="6"/>
      <c r="UN158" s="6"/>
      <c r="UO158" s="6"/>
      <c r="UP158" s="6"/>
      <c r="UQ158" s="6"/>
      <c r="UR158" s="6"/>
      <c r="US158" s="6"/>
      <c r="UT158" s="6"/>
      <c r="UU158" s="6"/>
      <c r="UV158" s="6"/>
      <c r="UW158" s="6"/>
      <c r="UX158" s="6"/>
      <c r="UY158" s="6"/>
      <c r="UZ158" s="6"/>
      <c r="VA158" s="6"/>
      <c r="VB158" s="6"/>
      <c r="VC158" s="6"/>
      <c r="VD158" s="6"/>
      <c r="VE158" s="6"/>
      <c r="VF158" s="6"/>
      <c r="VG158" s="6"/>
      <c r="VH158" s="6"/>
      <c r="VI158" s="6"/>
      <c r="VJ158" s="6"/>
      <c r="VK158" s="6"/>
      <c r="VL158" s="6"/>
      <c r="VM158" s="6"/>
      <c r="VN158" s="6"/>
      <c r="VO158" s="6"/>
      <c r="VP158" s="6"/>
      <c r="VQ158" s="6"/>
      <c r="VR158" s="6"/>
      <c r="VS158" s="6"/>
      <c r="VT158" s="6"/>
      <c r="VU158" s="6"/>
      <c r="VV158" s="6"/>
      <c r="VW158" s="6"/>
      <c r="VX158" s="6"/>
      <c r="VY158" s="6"/>
      <c r="VZ158" s="6"/>
      <c r="WA158" s="6"/>
      <c r="WB158" s="6"/>
      <c r="WC158" s="6"/>
      <c r="WD158" s="6"/>
      <c r="WE158" s="6"/>
      <c r="WF158" s="6"/>
      <c r="WG158" s="6"/>
      <c r="WH158" s="6"/>
      <c r="WI158" s="6"/>
      <c r="WJ158" s="6"/>
      <c r="WK158" s="6"/>
      <c r="WL158" s="6"/>
      <c r="WM158" s="6"/>
      <c r="WN158" s="6"/>
      <c r="WO158" s="6"/>
      <c r="WP158" s="6"/>
      <c r="WQ158" s="6"/>
      <c r="WR158" s="6"/>
      <c r="WS158" s="6"/>
      <c r="WT158" s="6"/>
      <c r="WU158" s="6"/>
      <c r="WV158" s="6"/>
      <c r="WW158" s="6"/>
      <c r="WX158" s="6"/>
      <c r="WY158" s="6"/>
      <c r="WZ158" s="6"/>
      <c r="XA158" s="6"/>
      <c r="XB158" s="6"/>
      <c r="XC158" s="6"/>
      <c r="XD158" s="6"/>
      <c r="XE158" s="6"/>
      <c r="XF158" s="6"/>
      <c r="XG158" s="6"/>
      <c r="XH158" s="6"/>
      <c r="XI158" s="6"/>
      <c r="XJ158" s="6"/>
      <c r="XK158" s="6"/>
      <c r="XL158" s="6"/>
      <c r="XM158" s="6"/>
      <c r="XN158" s="6"/>
      <c r="XO158" s="6"/>
      <c r="XP158" s="6"/>
      <c r="XQ158" s="6"/>
      <c r="XR158" s="6"/>
      <c r="XS158" s="6"/>
      <c r="XT158" s="6"/>
      <c r="XU158" s="6"/>
      <c r="XV158" s="6"/>
      <c r="XW158" s="6"/>
      <c r="XX158" s="6"/>
      <c r="XY158" s="6"/>
      <c r="XZ158" s="6"/>
      <c r="YA158" s="6"/>
      <c r="YB158" s="6"/>
      <c r="YC158" s="6"/>
      <c r="YD158" s="6"/>
      <c r="YE158" s="6"/>
      <c r="YF158" s="6"/>
      <c r="YG158" s="6"/>
      <c r="YH158" s="6"/>
      <c r="YI158" s="6"/>
      <c r="YJ158" s="6"/>
      <c r="YK158" s="6"/>
      <c r="YL158" s="6"/>
      <c r="YM158" s="6"/>
      <c r="YN158" s="6"/>
      <c r="YO158" s="6"/>
      <c r="YP158" s="6"/>
      <c r="YQ158" s="6"/>
      <c r="YR158" s="6"/>
      <c r="YS158" s="6"/>
      <c r="YT158" s="6"/>
      <c r="YU158" s="6"/>
      <c r="YV158" s="6"/>
      <c r="YW158" s="6"/>
      <c r="YX158" s="6"/>
      <c r="YY158" s="6"/>
      <c r="YZ158" s="6"/>
      <c r="ZA158" s="6"/>
      <c r="ZB158" s="6"/>
      <c r="ZC158" s="6"/>
      <c r="ZD158" s="6"/>
      <c r="ZE158" s="6"/>
      <c r="ZF158" s="6"/>
      <c r="ZG158" s="6"/>
      <c r="ZH158" s="6"/>
      <c r="ZI158" s="6"/>
      <c r="ZJ158" s="6"/>
      <c r="ZK158" s="6"/>
      <c r="ZL158" s="6"/>
      <c r="ZM158" s="6"/>
      <c r="ZN158" s="6"/>
      <c r="ZO158" s="6"/>
      <c r="ZP158" s="6"/>
      <c r="ZQ158" s="6"/>
      <c r="ZR158" s="6"/>
      <c r="ZS158" s="6"/>
      <c r="ZT158" s="6"/>
      <c r="ZU158" s="6"/>
      <c r="ZV158" s="6"/>
      <c r="ZW158" s="6"/>
      <c r="ZX158" s="6"/>
      <c r="ZY158" s="6"/>
      <c r="ZZ158" s="6"/>
      <c r="AAA158" s="6"/>
      <c r="AAB158" s="6"/>
      <c r="AAC158" s="6"/>
      <c r="AAD158" s="6"/>
      <c r="AAE158" s="6"/>
      <c r="AAF158" s="6"/>
      <c r="AAG158" s="6"/>
      <c r="AAH158" s="6"/>
      <c r="AAI158" s="6"/>
      <c r="AAJ158" s="6"/>
      <c r="AAK158" s="6"/>
      <c r="AAL158" s="6"/>
      <c r="AAM158" s="6"/>
      <c r="AAN158" s="6"/>
      <c r="AAO158" s="6"/>
      <c r="AAP158" s="6"/>
      <c r="AAQ158" s="6"/>
      <c r="AAR158" s="6"/>
      <c r="AAS158" s="6"/>
      <c r="AAT158" s="6"/>
      <c r="AAU158" s="6"/>
      <c r="AAV158" s="6"/>
      <c r="AAW158" s="6"/>
      <c r="AAX158" s="6"/>
      <c r="AAY158" s="6"/>
      <c r="AAZ158" s="6"/>
      <c r="ABA158" s="6"/>
      <c r="ABB158" s="6"/>
      <c r="ABC158" s="6"/>
      <c r="ABD158" s="6"/>
      <c r="ABE158" s="6"/>
      <c r="ABF158" s="6"/>
      <c r="ABG158" s="6"/>
      <c r="ABH158" s="6"/>
      <c r="ABI158" s="6"/>
      <c r="ABJ158" s="6"/>
      <c r="ABK158" s="6"/>
      <c r="ABL158" s="6"/>
      <c r="ABM158" s="6"/>
      <c r="ABN158" s="6"/>
      <c r="ABO158" s="6"/>
      <c r="ABP158" s="6"/>
      <c r="ABQ158" s="6"/>
      <c r="ABR158" s="6"/>
      <c r="ABS158" s="6"/>
      <c r="ABT158" s="6"/>
      <c r="ABU158" s="6"/>
      <c r="ABV158" s="6"/>
      <c r="ABW158" s="6"/>
      <c r="ABX158" s="6"/>
      <c r="ABY158" s="6"/>
      <c r="ABZ158" s="6"/>
      <c r="ACA158" s="6"/>
      <c r="ACB158" s="6"/>
      <c r="ACC158" s="6"/>
      <c r="ACD158" s="6"/>
      <c r="ACE158" s="6"/>
      <c r="ACF158" s="6"/>
      <c r="ACG158" s="6"/>
      <c r="ACH158" s="6"/>
      <c r="ACI158" s="6"/>
      <c r="ACJ158" s="6"/>
      <c r="ACK158" s="6"/>
      <c r="ACL158" s="6"/>
      <c r="ACM158" s="6"/>
      <c r="ACN158" s="6"/>
      <c r="ACO158" s="6"/>
      <c r="ACP158" s="6"/>
      <c r="ACQ158" s="6"/>
      <c r="ACR158" s="6"/>
      <c r="ACS158" s="6"/>
      <c r="ACT158" s="6"/>
      <c r="ACU158" s="6"/>
      <c r="ACV158" s="6"/>
      <c r="ACW158" s="6"/>
      <c r="ACX158" s="6"/>
      <c r="ACY158" s="6"/>
      <c r="ACZ158" s="6"/>
      <c r="ADA158" s="6"/>
      <c r="ADB158" s="6"/>
      <c r="ADC158" s="6"/>
      <c r="ADD158" s="6"/>
      <c r="ADE158" s="6"/>
      <c r="ADF158" s="6"/>
      <c r="ADG158" s="6"/>
      <c r="ADH158" s="6"/>
      <c r="ADI158" s="6"/>
      <c r="ADJ158" s="6"/>
    </row>
    <row r="159" spans="1:790" s="291" customFormat="1" ht="27.6" x14ac:dyDescent="0.3">
      <c r="A159" s="399"/>
      <c r="B159" s="430" t="s">
        <v>112</v>
      </c>
      <c r="C159" s="366">
        <v>1</v>
      </c>
      <c r="D159" s="367"/>
      <c r="E159" s="367"/>
      <c r="F159" s="362"/>
      <c r="G159" s="362"/>
      <c r="H159" s="362">
        <f>+PRODUCT(C159:G159)</f>
        <v>1</v>
      </c>
      <c r="I159" s="369" t="s">
        <v>30</v>
      </c>
      <c r="J159" s="362">
        <f>+PRODUCT(C159:G159)</f>
        <v>1</v>
      </c>
      <c r="K159" s="432">
        <v>328785.88</v>
      </c>
      <c r="L159" s="370"/>
      <c r="M159" s="490"/>
      <c r="N159" s="489" t="str">
        <f t="shared" si="138"/>
        <v/>
      </c>
      <c r="O159" s="433" t="s">
        <v>210</v>
      </c>
      <c r="Q159" s="497" t="s">
        <v>210</v>
      </c>
      <c r="R159" s="481">
        <f t="shared" si="148"/>
        <v>1</v>
      </c>
      <c r="S159" s="514"/>
      <c r="T159" s="515" t="str">
        <f t="shared" si="143"/>
        <v/>
      </c>
      <c r="U159" s="482">
        <f t="shared" si="144"/>
        <v>1</v>
      </c>
      <c r="V159" s="514"/>
      <c r="W159" s="515" t="str">
        <f t="shared" si="145"/>
        <v/>
      </c>
      <c r="X159" s="507">
        <f t="shared" si="157"/>
        <v>0</v>
      </c>
      <c r="Y159" s="520">
        <f t="shared" si="158"/>
        <v>0</v>
      </c>
      <c r="Z159" s="521" t="e">
        <f t="shared" si="159"/>
        <v>#DIV/0!</v>
      </c>
      <c r="AA159" s="471"/>
      <c r="AB159" s="471"/>
      <c r="AC159" s="471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6"/>
      <c r="KZ159" s="6"/>
      <c r="LA159" s="6"/>
      <c r="LB159" s="6"/>
      <c r="LC159" s="6"/>
      <c r="LD159" s="6"/>
      <c r="LE159" s="6"/>
      <c r="LF159" s="6"/>
      <c r="LG159" s="6"/>
      <c r="LH159" s="6"/>
      <c r="LI159" s="6"/>
      <c r="LJ159" s="6"/>
      <c r="LK159" s="6"/>
      <c r="LL159" s="6"/>
      <c r="LM159" s="6"/>
      <c r="LN159" s="6"/>
      <c r="LO159" s="6"/>
      <c r="LP159" s="6"/>
      <c r="LQ159" s="6"/>
      <c r="LR159" s="6"/>
      <c r="LS159" s="6"/>
      <c r="LT159" s="6"/>
      <c r="LU159" s="6"/>
      <c r="LV159" s="6"/>
      <c r="LW159" s="6"/>
      <c r="LX159" s="6"/>
      <c r="LY159" s="6"/>
      <c r="LZ159" s="6"/>
      <c r="MA159" s="6"/>
      <c r="MB159" s="6"/>
      <c r="MC159" s="6"/>
      <c r="MD159" s="6"/>
      <c r="ME159" s="6"/>
      <c r="MF159" s="6"/>
      <c r="MG159" s="6"/>
      <c r="MH159" s="6"/>
      <c r="MI159" s="6"/>
      <c r="MJ159" s="6"/>
      <c r="MK159" s="6"/>
      <c r="ML159" s="6"/>
      <c r="MM159" s="6"/>
      <c r="MN159" s="6"/>
      <c r="MO159" s="6"/>
      <c r="MP159" s="6"/>
      <c r="MQ159" s="6"/>
      <c r="MR159" s="6"/>
      <c r="MS159" s="6"/>
      <c r="MT159" s="6"/>
      <c r="MU159" s="6"/>
      <c r="MV159" s="6"/>
      <c r="MW159" s="6"/>
      <c r="MX159" s="6"/>
      <c r="MY159" s="6"/>
      <c r="MZ159" s="6"/>
      <c r="NA159" s="6"/>
      <c r="NB159" s="6"/>
      <c r="NC159" s="6"/>
      <c r="ND159" s="6"/>
      <c r="NE159" s="6"/>
      <c r="NF159" s="6"/>
      <c r="NG159" s="6"/>
      <c r="NH159" s="6"/>
      <c r="NI159" s="6"/>
      <c r="NJ159" s="6"/>
      <c r="NK159" s="6"/>
      <c r="NL159" s="6"/>
      <c r="NM159" s="6"/>
      <c r="NN159" s="6"/>
      <c r="NO159" s="6"/>
      <c r="NP159" s="6"/>
      <c r="NQ159" s="6"/>
      <c r="NR159" s="6"/>
      <c r="NS159" s="6"/>
      <c r="NT159" s="6"/>
      <c r="NU159" s="6"/>
      <c r="NV159" s="6"/>
      <c r="NW159" s="6"/>
      <c r="NX159" s="6"/>
      <c r="NY159" s="6"/>
      <c r="NZ159" s="6"/>
      <c r="OA159" s="6"/>
      <c r="OB159" s="6"/>
      <c r="OC159" s="6"/>
      <c r="OD159" s="6"/>
      <c r="OE159" s="6"/>
      <c r="OF159" s="6"/>
      <c r="OG159" s="6"/>
      <c r="OH159" s="6"/>
      <c r="OI159" s="6"/>
      <c r="OJ159" s="6"/>
      <c r="OK159" s="6"/>
      <c r="OL159" s="6"/>
      <c r="OM159" s="6"/>
      <c r="ON159" s="6"/>
      <c r="OO159" s="6"/>
      <c r="OP159" s="6"/>
      <c r="OQ159" s="6"/>
      <c r="OR159" s="6"/>
      <c r="OS159" s="6"/>
      <c r="OT159" s="6"/>
      <c r="OU159" s="6"/>
      <c r="OV159" s="6"/>
      <c r="OW159" s="6"/>
      <c r="OX159" s="6"/>
      <c r="OY159" s="6"/>
      <c r="OZ159" s="6"/>
      <c r="PA159" s="6"/>
      <c r="PB159" s="6"/>
      <c r="PC159" s="6"/>
      <c r="PD159" s="6"/>
      <c r="PE159" s="6"/>
      <c r="PF159" s="6"/>
      <c r="PG159" s="6"/>
      <c r="PH159" s="6"/>
      <c r="PI159" s="6"/>
      <c r="PJ159" s="6"/>
      <c r="PK159" s="6"/>
      <c r="PL159" s="6"/>
      <c r="PM159" s="6"/>
      <c r="PN159" s="6"/>
      <c r="PO159" s="6"/>
      <c r="PP159" s="6"/>
      <c r="PQ159" s="6"/>
      <c r="PR159" s="6"/>
      <c r="PS159" s="6"/>
      <c r="PT159" s="6"/>
      <c r="PU159" s="6"/>
      <c r="PV159" s="6"/>
      <c r="PW159" s="6"/>
      <c r="PX159" s="6"/>
      <c r="PY159" s="6"/>
      <c r="PZ159" s="6"/>
      <c r="QA159" s="6"/>
      <c r="QB159" s="6"/>
      <c r="QC159" s="6"/>
      <c r="QD159" s="6"/>
      <c r="QE159" s="6"/>
      <c r="QF159" s="6"/>
      <c r="QG159" s="6"/>
      <c r="QH159" s="6"/>
      <c r="QI159" s="6"/>
      <c r="QJ159" s="6"/>
      <c r="QK159" s="6"/>
      <c r="QL159" s="6"/>
      <c r="QM159" s="6"/>
      <c r="QN159" s="6"/>
      <c r="QO159" s="6"/>
      <c r="QP159" s="6"/>
      <c r="QQ159" s="6"/>
      <c r="QR159" s="6"/>
      <c r="QS159" s="6"/>
      <c r="QT159" s="6"/>
      <c r="QU159" s="6"/>
      <c r="QV159" s="6"/>
      <c r="QW159" s="6"/>
      <c r="QX159" s="6"/>
      <c r="QY159" s="6"/>
      <c r="QZ159" s="6"/>
      <c r="RA159" s="6"/>
      <c r="RB159" s="6"/>
      <c r="RC159" s="6"/>
      <c r="RD159" s="6"/>
      <c r="RE159" s="6"/>
      <c r="RF159" s="6"/>
      <c r="RG159" s="6"/>
      <c r="RH159" s="6"/>
      <c r="RI159" s="6"/>
      <c r="RJ159" s="6"/>
      <c r="RK159" s="6"/>
      <c r="RL159" s="6"/>
      <c r="RM159" s="6"/>
      <c r="RN159" s="6"/>
      <c r="RO159" s="6"/>
      <c r="RP159" s="6"/>
      <c r="RQ159" s="6"/>
      <c r="RR159" s="6"/>
      <c r="RS159" s="6"/>
      <c r="RT159" s="6"/>
      <c r="RU159" s="6"/>
      <c r="RV159" s="6"/>
      <c r="RW159" s="6"/>
      <c r="RX159" s="6"/>
      <c r="RY159" s="6"/>
      <c r="RZ159" s="6"/>
      <c r="SA159" s="6"/>
      <c r="SB159" s="6"/>
      <c r="SC159" s="6"/>
      <c r="SD159" s="6"/>
      <c r="SE159" s="6"/>
      <c r="SF159" s="6"/>
      <c r="SG159" s="6"/>
      <c r="SH159" s="6"/>
      <c r="SI159" s="6"/>
      <c r="SJ159" s="6"/>
      <c r="SK159" s="6"/>
      <c r="SL159" s="6"/>
      <c r="SM159" s="6"/>
      <c r="SN159" s="6"/>
      <c r="SO159" s="6"/>
      <c r="SP159" s="6"/>
      <c r="SQ159" s="6"/>
      <c r="SR159" s="6"/>
      <c r="SS159" s="6"/>
      <c r="ST159" s="6"/>
      <c r="SU159" s="6"/>
      <c r="SV159" s="6"/>
      <c r="SW159" s="6"/>
      <c r="SX159" s="6"/>
      <c r="SY159" s="6"/>
      <c r="SZ159" s="6"/>
      <c r="TA159" s="6"/>
      <c r="TB159" s="6"/>
      <c r="TC159" s="6"/>
      <c r="TD159" s="6"/>
      <c r="TE159" s="6"/>
      <c r="TF159" s="6"/>
      <c r="TG159" s="6"/>
      <c r="TH159" s="6"/>
      <c r="TI159" s="6"/>
      <c r="TJ159" s="6"/>
      <c r="TK159" s="6"/>
      <c r="TL159" s="6"/>
      <c r="TM159" s="6"/>
      <c r="TN159" s="6"/>
      <c r="TO159" s="6"/>
      <c r="TP159" s="6"/>
      <c r="TQ159" s="6"/>
      <c r="TR159" s="6"/>
      <c r="TS159" s="6"/>
      <c r="TT159" s="6"/>
      <c r="TU159" s="6"/>
      <c r="TV159" s="6"/>
      <c r="TW159" s="6"/>
      <c r="TX159" s="6"/>
      <c r="TY159" s="6"/>
      <c r="TZ159" s="6"/>
      <c r="UA159" s="6"/>
      <c r="UB159" s="6"/>
      <c r="UC159" s="6"/>
      <c r="UD159" s="6"/>
      <c r="UE159" s="6"/>
      <c r="UF159" s="6"/>
      <c r="UG159" s="6"/>
      <c r="UH159" s="6"/>
      <c r="UI159" s="6"/>
      <c r="UJ159" s="6"/>
      <c r="UK159" s="6"/>
      <c r="UL159" s="6"/>
      <c r="UM159" s="6"/>
      <c r="UN159" s="6"/>
      <c r="UO159" s="6"/>
      <c r="UP159" s="6"/>
      <c r="UQ159" s="6"/>
      <c r="UR159" s="6"/>
      <c r="US159" s="6"/>
      <c r="UT159" s="6"/>
      <c r="UU159" s="6"/>
      <c r="UV159" s="6"/>
      <c r="UW159" s="6"/>
      <c r="UX159" s="6"/>
      <c r="UY159" s="6"/>
      <c r="UZ159" s="6"/>
      <c r="VA159" s="6"/>
      <c r="VB159" s="6"/>
      <c r="VC159" s="6"/>
      <c r="VD159" s="6"/>
      <c r="VE159" s="6"/>
      <c r="VF159" s="6"/>
      <c r="VG159" s="6"/>
      <c r="VH159" s="6"/>
      <c r="VI159" s="6"/>
      <c r="VJ159" s="6"/>
      <c r="VK159" s="6"/>
      <c r="VL159" s="6"/>
      <c r="VM159" s="6"/>
      <c r="VN159" s="6"/>
      <c r="VO159" s="6"/>
      <c r="VP159" s="6"/>
      <c r="VQ159" s="6"/>
      <c r="VR159" s="6"/>
      <c r="VS159" s="6"/>
      <c r="VT159" s="6"/>
      <c r="VU159" s="6"/>
      <c r="VV159" s="6"/>
      <c r="VW159" s="6"/>
      <c r="VX159" s="6"/>
      <c r="VY159" s="6"/>
      <c r="VZ159" s="6"/>
      <c r="WA159" s="6"/>
      <c r="WB159" s="6"/>
      <c r="WC159" s="6"/>
      <c r="WD159" s="6"/>
      <c r="WE159" s="6"/>
      <c r="WF159" s="6"/>
      <c r="WG159" s="6"/>
      <c r="WH159" s="6"/>
      <c r="WI159" s="6"/>
      <c r="WJ159" s="6"/>
      <c r="WK159" s="6"/>
      <c r="WL159" s="6"/>
      <c r="WM159" s="6"/>
      <c r="WN159" s="6"/>
      <c r="WO159" s="6"/>
      <c r="WP159" s="6"/>
      <c r="WQ159" s="6"/>
      <c r="WR159" s="6"/>
      <c r="WS159" s="6"/>
      <c r="WT159" s="6"/>
      <c r="WU159" s="6"/>
      <c r="WV159" s="6"/>
      <c r="WW159" s="6"/>
      <c r="WX159" s="6"/>
      <c r="WY159" s="6"/>
      <c r="WZ159" s="6"/>
      <c r="XA159" s="6"/>
      <c r="XB159" s="6"/>
      <c r="XC159" s="6"/>
      <c r="XD159" s="6"/>
      <c r="XE159" s="6"/>
      <c r="XF159" s="6"/>
      <c r="XG159" s="6"/>
      <c r="XH159" s="6"/>
      <c r="XI159" s="6"/>
      <c r="XJ159" s="6"/>
      <c r="XK159" s="6"/>
      <c r="XL159" s="6"/>
      <c r="XM159" s="6"/>
      <c r="XN159" s="6"/>
      <c r="XO159" s="6"/>
      <c r="XP159" s="6"/>
      <c r="XQ159" s="6"/>
      <c r="XR159" s="6"/>
      <c r="XS159" s="6"/>
      <c r="XT159" s="6"/>
      <c r="XU159" s="6"/>
      <c r="XV159" s="6"/>
      <c r="XW159" s="6"/>
      <c r="XX159" s="6"/>
      <c r="XY159" s="6"/>
      <c r="XZ159" s="6"/>
      <c r="YA159" s="6"/>
      <c r="YB159" s="6"/>
      <c r="YC159" s="6"/>
      <c r="YD159" s="6"/>
      <c r="YE159" s="6"/>
      <c r="YF159" s="6"/>
      <c r="YG159" s="6"/>
      <c r="YH159" s="6"/>
      <c r="YI159" s="6"/>
      <c r="YJ159" s="6"/>
      <c r="YK159" s="6"/>
      <c r="YL159" s="6"/>
      <c r="YM159" s="6"/>
      <c r="YN159" s="6"/>
      <c r="YO159" s="6"/>
      <c r="YP159" s="6"/>
      <c r="YQ159" s="6"/>
      <c r="YR159" s="6"/>
      <c r="YS159" s="6"/>
      <c r="YT159" s="6"/>
      <c r="YU159" s="6"/>
      <c r="YV159" s="6"/>
      <c r="YW159" s="6"/>
      <c r="YX159" s="6"/>
      <c r="YY159" s="6"/>
      <c r="YZ159" s="6"/>
      <c r="ZA159" s="6"/>
      <c r="ZB159" s="6"/>
      <c r="ZC159" s="6"/>
      <c r="ZD159" s="6"/>
      <c r="ZE159" s="6"/>
      <c r="ZF159" s="6"/>
      <c r="ZG159" s="6"/>
      <c r="ZH159" s="6"/>
      <c r="ZI159" s="6"/>
      <c r="ZJ159" s="6"/>
      <c r="ZK159" s="6"/>
      <c r="ZL159" s="6"/>
      <c r="ZM159" s="6"/>
      <c r="ZN159" s="6"/>
      <c r="ZO159" s="6"/>
      <c r="ZP159" s="6"/>
      <c r="ZQ159" s="6"/>
      <c r="ZR159" s="6"/>
      <c r="ZS159" s="6"/>
      <c r="ZT159" s="6"/>
      <c r="ZU159" s="6"/>
      <c r="ZV159" s="6"/>
      <c r="ZW159" s="6"/>
      <c r="ZX159" s="6"/>
      <c r="ZY159" s="6"/>
      <c r="ZZ159" s="6"/>
      <c r="AAA159" s="6"/>
      <c r="AAB159" s="6"/>
      <c r="AAC159" s="6"/>
      <c r="AAD159" s="6"/>
      <c r="AAE159" s="6"/>
      <c r="AAF159" s="6"/>
      <c r="AAG159" s="6"/>
      <c r="AAH159" s="6"/>
      <c r="AAI159" s="6"/>
      <c r="AAJ159" s="6"/>
      <c r="AAK159" s="6"/>
      <c r="AAL159" s="6"/>
      <c r="AAM159" s="6"/>
      <c r="AAN159" s="6"/>
      <c r="AAO159" s="6"/>
      <c r="AAP159" s="6"/>
      <c r="AAQ159" s="6"/>
      <c r="AAR159" s="6"/>
      <c r="AAS159" s="6"/>
      <c r="AAT159" s="6"/>
      <c r="AAU159" s="6"/>
      <c r="AAV159" s="6"/>
      <c r="AAW159" s="6"/>
      <c r="AAX159" s="6"/>
      <c r="AAY159" s="6"/>
      <c r="AAZ159" s="6"/>
      <c r="ABA159" s="6"/>
      <c r="ABB159" s="6"/>
      <c r="ABC159" s="6"/>
      <c r="ABD159" s="6"/>
      <c r="ABE159" s="6"/>
      <c r="ABF159" s="6"/>
      <c r="ABG159" s="6"/>
      <c r="ABH159" s="6"/>
      <c r="ABI159" s="6"/>
      <c r="ABJ159" s="6"/>
      <c r="ABK159" s="6"/>
      <c r="ABL159" s="6"/>
      <c r="ABM159" s="6"/>
      <c r="ABN159" s="6"/>
      <c r="ABO159" s="6"/>
      <c r="ABP159" s="6"/>
      <c r="ABQ159" s="6"/>
      <c r="ABR159" s="6"/>
      <c r="ABS159" s="6"/>
      <c r="ABT159" s="6"/>
      <c r="ABU159" s="6"/>
      <c r="ABV159" s="6"/>
      <c r="ABW159" s="6"/>
      <c r="ABX159" s="6"/>
      <c r="ABY159" s="6"/>
      <c r="ABZ159" s="6"/>
      <c r="ACA159" s="6"/>
      <c r="ACB159" s="6"/>
      <c r="ACC159" s="6"/>
      <c r="ACD159" s="6"/>
      <c r="ACE159" s="6"/>
      <c r="ACF159" s="6"/>
      <c r="ACG159" s="6"/>
      <c r="ACH159" s="6"/>
      <c r="ACI159" s="6"/>
      <c r="ACJ159" s="6"/>
      <c r="ACK159" s="6"/>
      <c r="ACL159" s="6"/>
      <c r="ACM159" s="6"/>
      <c r="ACN159" s="6"/>
      <c r="ACO159" s="6"/>
      <c r="ACP159" s="6"/>
      <c r="ACQ159" s="6"/>
      <c r="ACR159" s="6"/>
      <c r="ACS159" s="6"/>
      <c r="ACT159" s="6"/>
      <c r="ACU159" s="6"/>
      <c r="ACV159" s="6"/>
      <c r="ACW159" s="6"/>
      <c r="ACX159" s="6"/>
      <c r="ACY159" s="6"/>
      <c r="ACZ159" s="6"/>
      <c r="ADA159" s="6"/>
      <c r="ADB159" s="6"/>
      <c r="ADC159" s="6"/>
      <c r="ADD159" s="6"/>
      <c r="ADE159" s="6"/>
      <c r="ADF159" s="6"/>
      <c r="ADG159" s="6"/>
      <c r="ADH159" s="6"/>
      <c r="ADI159" s="6"/>
      <c r="ADJ159" s="6"/>
    </row>
    <row r="160" spans="1:790" s="291" customFormat="1" x14ac:dyDescent="0.3">
      <c r="A160" s="399"/>
      <c r="B160" s="571"/>
      <c r="C160" s="366"/>
      <c r="D160" s="367"/>
      <c r="E160" s="367"/>
      <c r="F160" s="367"/>
      <c r="G160" s="427"/>
      <c r="H160" s="427"/>
      <c r="I160" s="369"/>
      <c r="J160" s="403"/>
      <c r="K160" s="363"/>
      <c r="L160" s="370"/>
      <c r="M160" s="490"/>
      <c r="N160" s="489" t="str">
        <f t="shared" si="138"/>
        <v/>
      </c>
      <c r="O160" s="308"/>
      <c r="Q160" s="497"/>
      <c r="R160" s="481"/>
      <c r="S160" s="514"/>
      <c r="T160" s="515" t="str">
        <f t="shared" si="143"/>
        <v/>
      </c>
      <c r="U160" s="482" t="str">
        <f t="shared" si="144"/>
        <v/>
      </c>
      <c r="V160" s="514"/>
      <c r="W160" s="515" t="str">
        <f t="shared" si="145"/>
        <v/>
      </c>
      <c r="X160" s="507"/>
      <c r="Y160" s="507"/>
      <c r="Z160" s="478"/>
      <c r="AA160" s="471"/>
      <c r="AB160" s="471"/>
      <c r="AC160" s="471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6"/>
      <c r="KZ160" s="6"/>
      <c r="LA160" s="6"/>
      <c r="LB160" s="6"/>
      <c r="LC160" s="6"/>
      <c r="LD160" s="6"/>
      <c r="LE160" s="6"/>
      <c r="LF160" s="6"/>
      <c r="LG160" s="6"/>
      <c r="LH160" s="6"/>
      <c r="LI160" s="6"/>
      <c r="LJ160" s="6"/>
      <c r="LK160" s="6"/>
      <c r="LL160" s="6"/>
      <c r="LM160" s="6"/>
      <c r="LN160" s="6"/>
      <c r="LO160" s="6"/>
      <c r="LP160" s="6"/>
      <c r="LQ160" s="6"/>
      <c r="LR160" s="6"/>
      <c r="LS160" s="6"/>
      <c r="LT160" s="6"/>
      <c r="LU160" s="6"/>
      <c r="LV160" s="6"/>
      <c r="LW160" s="6"/>
      <c r="LX160" s="6"/>
      <c r="LY160" s="6"/>
      <c r="LZ160" s="6"/>
      <c r="MA160" s="6"/>
      <c r="MB160" s="6"/>
      <c r="MC160" s="6"/>
      <c r="MD160" s="6"/>
      <c r="ME160" s="6"/>
      <c r="MF160" s="6"/>
      <c r="MG160" s="6"/>
      <c r="MH160" s="6"/>
      <c r="MI160" s="6"/>
      <c r="MJ160" s="6"/>
      <c r="MK160" s="6"/>
      <c r="ML160" s="6"/>
      <c r="MM160" s="6"/>
      <c r="MN160" s="6"/>
      <c r="MO160" s="6"/>
      <c r="MP160" s="6"/>
      <c r="MQ160" s="6"/>
      <c r="MR160" s="6"/>
      <c r="MS160" s="6"/>
      <c r="MT160" s="6"/>
      <c r="MU160" s="6"/>
      <c r="MV160" s="6"/>
      <c r="MW160" s="6"/>
      <c r="MX160" s="6"/>
      <c r="MY160" s="6"/>
      <c r="MZ160" s="6"/>
      <c r="NA160" s="6"/>
      <c r="NB160" s="6"/>
      <c r="NC160" s="6"/>
      <c r="ND160" s="6"/>
      <c r="NE160" s="6"/>
      <c r="NF160" s="6"/>
      <c r="NG160" s="6"/>
      <c r="NH160" s="6"/>
      <c r="NI160" s="6"/>
      <c r="NJ160" s="6"/>
      <c r="NK160" s="6"/>
      <c r="NL160" s="6"/>
      <c r="NM160" s="6"/>
      <c r="NN160" s="6"/>
      <c r="NO160" s="6"/>
      <c r="NP160" s="6"/>
      <c r="NQ160" s="6"/>
      <c r="NR160" s="6"/>
      <c r="NS160" s="6"/>
      <c r="NT160" s="6"/>
      <c r="NU160" s="6"/>
      <c r="NV160" s="6"/>
      <c r="NW160" s="6"/>
      <c r="NX160" s="6"/>
      <c r="NY160" s="6"/>
      <c r="NZ160" s="6"/>
      <c r="OA160" s="6"/>
      <c r="OB160" s="6"/>
      <c r="OC160" s="6"/>
      <c r="OD160" s="6"/>
      <c r="OE160" s="6"/>
      <c r="OF160" s="6"/>
      <c r="OG160" s="6"/>
      <c r="OH160" s="6"/>
      <c r="OI160" s="6"/>
      <c r="OJ160" s="6"/>
      <c r="OK160" s="6"/>
      <c r="OL160" s="6"/>
      <c r="OM160" s="6"/>
      <c r="ON160" s="6"/>
      <c r="OO160" s="6"/>
      <c r="OP160" s="6"/>
      <c r="OQ160" s="6"/>
      <c r="OR160" s="6"/>
      <c r="OS160" s="6"/>
      <c r="OT160" s="6"/>
      <c r="OU160" s="6"/>
      <c r="OV160" s="6"/>
      <c r="OW160" s="6"/>
      <c r="OX160" s="6"/>
      <c r="OY160" s="6"/>
      <c r="OZ160" s="6"/>
      <c r="PA160" s="6"/>
      <c r="PB160" s="6"/>
      <c r="PC160" s="6"/>
      <c r="PD160" s="6"/>
      <c r="PE160" s="6"/>
      <c r="PF160" s="6"/>
      <c r="PG160" s="6"/>
      <c r="PH160" s="6"/>
      <c r="PI160" s="6"/>
      <c r="PJ160" s="6"/>
      <c r="PK160" s="6"/>
      <c r="PL160" s="6"/>
      <c r="PM160" s="6"/>
      <c r="PN160" s="6"/>
      <c r="PO160" s="6"/>
      <c r="PP160" s="6"/>
      <c r="PQ160" s="6"/>
      <c r="PR160" s="6"/>
      <c r="PS160" s="6"/>
      <c r="PT160" s="6"/>
      <c r="PU160" s="6"/>
      <c r="PV160" s="6"/>
      <c r="PW160" s="6"/>
      <c r="PX160" s="6"/>
      <c r="PY160" s="6"/>
      <c r="PZ160" s="6"/>
      <c r="QA160" s="6"/>
      <c r="QB160" s="6"/>
      <c r="QC160" s="6"/>
      <c r="QD160" s="6"/>
      <c r="QE160" s="6"/>
      <c r="QF160" s="6"/>
      <c r="QG160" s="6"/>
      <c r="QH160" s="6"/>
      <c r="QI160" s="6"/>
      <c r="QJ160" s="6"/>
      <c r="QK160" s="6"/>
      <c r="QL160" s="6"/>
      <c r="QM160" s="6"/>
      <c r="QN160" s="6"/>
      <c r="QO160" s="6"/>
      <c r="QP160" s="6"/>
      <c r="QQ160" s="6"/>
      <c r="QR160" s="6"/>
      <c r="QS160" s="6"/>
      <c r="QT160" s="6"/>
      <c r="QU160" s="6"/>
      <c r="QV160" s="6"/>
      <c r="QW160" s="6"/>
      <c r="QX160" s="6"/>
      <c r="QY160" s="6"/>
      <c r="QZ160" s="6"/>
      <c r="RA160" s="6"/>
      <c r="RB160" s="6"/>
      <c r="RC160" s="6"/>
      <c r="RD160" s="6"/>
      <c r="RE160" s="6"/>
      <c r="RF160" s="6"/>
      <c r="RG160" s="6"/>
      <c r="RH160" s="6"/>
      <c r="RI160" s="6"/>
      <c r="RJ160" s="6"/>
      <c r="RK160" s="6"/>
      <c r="RL160" s="6"/>
      <c r="RM160" s="6"/>
      <c r="RN160" s="6"/>
      <c r="RO160" s="6"/>
      <c r="RP160" s="6"/>
      <c r="RQ160" s="6"/>
      <c r="RR160" s="6"/>
      <c r="RS160" s="6"/>
      <c r="RT160" s="6"/>
      <c r="RU160" s="6"/>
      <c r="RV160" s="6"/>
      <c r="RW160" s="6"/>
      <c r="RX160" s="6"/>
      <c r="RY160" s="6"/>
      <c r="RZ160" s="6"/>
      <c r="SA160" s="6"/>
      <c r="SB160" s="6"/>
      <c r="SC160" s="6"/>
      <c r="SD160" s="6"/>
      <c r="SE160" s="6"/>
      <c r="SF160" s="6"/>
      <c r="SG160" s="6"/>
      <c r="SH160" s="6"/>
      <c r="SI160" s="6"/>
      <c r="SJ160" s="6"/>
      <c r="SK160" s="6"/>
      <c r="SL160" s="6"/>
      <c r="SM160" s="6"/>
      <c r="SN160" s="6"/>
      <c r="SO160" s="6"/>
      <c r="SP160" s="6"/>
      <c r="SQ160" s="6"/>
      <c r="SR160" s="6"/>
      <c r="SS160" s="6"/>
      <c r="ST160" s="6"/>
      <c r="SU160" s="6"/>
      <c r="SV160" s="6"/>
      <c r="SW160" s="6"/>
      <c r="SX160" s="6"/>
      <c r="SY160" s="6"/>
      <c r="SZ160" s="6"/>
      <c r="TA160" s="6"/>
      <c r="TB160" s="6"/>
      <c r="TC160" s="6"/>
      <c r="TD160" s="6"/>
      <c r="TE160" s="6"/>
      <c r="TF160" s="6"/>
      <c r="TG160" s="6"/>
      <c r="TH160" s="6"/>
      <c r="TI160" s="6"/>
      <c r="TJ160" s="6"/>
      <c r="TK160" s="6"/>
      <c r="TL160" s="6"/>
      <c r="TM160" s="6"/>
      <c r="TN160" s="6"/>
      <c r="TO160" s="6"/>
      <c r="TP160" s="6"/>
      <c r="TQ160" s="6"/>
      <c r="TR160" s="6"/>
      <c r="TS160" s="6"/>
      <c r="TT160" s="6"/>
      <c r="TU160" s="6"/>
      <c r="TV160" s="6"/>
      <c r="TW160" s="6"/>
      <c r="TX160" s="6"/>
      <c r="TY160" s="6"/>
      <c r="TZ160" s="6"/>
      <c r="UA160" s="6"/>
      <c r="UB160" s="6"/>
      <c r="UC160" s="6"/>
      <c r="UD160" s="6"/>
      <c r="UE160" s="6"/>
      <c r="UF160" s="6"/>
      <c r="UG160" s="6"/>
      <c r="UH160" s="6"/>
      <c r="UI160" s="6"/>
      <c r="UJ160" s="6"/>
      <c r="UK160" s="6"/>
      <c r="UL160" s="6"/>
      <c r="UM160" s="6"/>
      <c r="UN160" s="6"/>
      <c r="UO160" s="6"/>
      <c r="UP160" s="6"/>
      <c r="UQ160" s="6"/>
      <c r="UR160" s="6"/>
      <c r="US160" s="6"/>
      <c r="UT160" s="6"/>
      <c r="UU160" s="6"/>
      <c r="UV160" s="6"/>
      <c r="UW160" s="6"/>
      <c r="UX160" s="6"/>
      <c r="UY160" s="6"/>
      <c r="UZ160" s="6"/>
      <c r="VA160" s="6"/>
      <c r="VB160" s="6"/>
      <c r="VC160" s="6"/>
      <c r="VD160" s="6"/>
      <c r="VE160" s="6"/>
      <c r="VF160" s="6"/>
      <c r="VG160" s="6"/>
      <c r="VH160" s="6"/>
      <c r="VI160" s="6"/>
      <c r="VJ160" s="6"/>
      <c r="VK160" s="6"/>
      <c r="VL160" s="6"/>
      <c r="VM160" s="6"/>
      <c r="VN160" s="6"/>
      <c r="VO160" s="6"/>
      <c r="VP160" s="6"/>
      <c r="VQ160" s="6"/>
      <c r="VR160" s="6"/>
      <c r="VS160" s="6"/>
      <c r="VT160" s="6"/>
      <c r="VU160" s="6"/>
      <c r="VV160" s="6"/>
      <c r="VW160" s="6"/>
      <c r="VX160" s="6"/>
      <c r="VY160" s="6"/>
      <c r="VZ160" s="6"/>
      <c r="WA160" s="6"/>
      <c r="WB160" s="6"/>
      <c r="WC160" s="6"/>
      <c r="WD160" s="6"/>
      <c r="WE160" s="6"/>
      <c r="WF160" s="6"/>
      <c r="WG160" s="6"/>
      <c r="WH160" s="6"/>
      <c r="WI160" s="6"/>
      <c r="WJ160" s="6"/>
      <c r="WK160" s="6"/>
      <c r="WL160" s="6"/>
      <c r="WM160" s="6"/>
      <c r="WN160" s="6"/>
      <c r="WO160" s="6"/>
      <c r="WP160" s="6"/>
      <c r="WQ160" s="6"/>
      <c r="WR160" s="6"/>
      <c r="WS160" s="6"/>
      <c r="WT160" s="6"/>
      <c r="WU160" s="6"/>
      <c r="WV160" s="6"/>
      <c r="WW160" s="6"/>
      <c r="WX160" s="6"/>
      <c r="WY160" s="6"/>
      <c r="WZ160" s="6"/>
      <c r="XA160" s="6"/>
      <c r="XB160" s="6"/>
      <c r="XC160" s="6"/>
      <c r="XD160" s="6"/>
      <c r="XE160" s="6"/>
      <c r="XF160" s="6"/>
      <c r="XG160" s="6"/>
      <c r="XH160" s="6"/>
      <c r="XI160" s="6"/>
      <c r="XJ160" s="6"/>
      <c r="XK160" s="6"/>
      <c r="XL160" s="6"/>
      <c r="XM160" s="6"/>
      <c r="XN160" s="6"/>
      <c r="XO160" s="6"/>
      <c r="XP160" s="6"/>
      <c r="XQ160" s="6"/>
      <c r="XR160" s="6"/>
      <c r="XS160" s="6"/>
      <c r="XT160" s="6"/>
      <c r="XU160" s="6"/>
      <c r="XV160" s="6"/>
      <c r="XW160" s="6"/>
      <c r="XX160" s="6"/>
      <c r="XY160" s="6"/>
      <c r="XZ160" s="6"/>
      <c r="YA160" s="6"/>
      <c r="YB160" s="6"/>
      <c r="YC160" s="6"/>
      <c r="YD160" s="6"/>
      <c r="YE160" s="6"/>
      <c r="YF160" s="6"/>
      <c r="YG160" s="6"/>
      <c r="YH160" s="6"/>
      <c r="YI160" s="6"/>
      <c r="YJ160" s="6"/>
      <c r="YK160" s="6"/>
      <c r="YL160" s="6"/>
      <c r="YM160" s="6"/>
      <c r="YN160" s="6"/>
      <c r="YO160" s="6"/>
      <c r="YP160" s="6"/>
      <c r="YQ160" s="6"/>
      <c r="YR160" s="6"/>
      <c r="YS160" s="6"/>
      <c r="YT160" s="6"/>
      <c r="YU160" s="6"/>
      <c r="YV160" s="6"/>
      <c r="YW160" s="6"/>
      <c r="YX160" s="6"/>
      <c r="YY160" s="6"/>
      <c r="YZ160" s="6"/>
      <c r="ZA160" s="6"/>
      <c r="ZB160" s="6"/>
      <c r="ZC160" s="6"/>
      <c r="ZD160" s="6"/>
      <c r="ZE160" s="6"/>
      <c r="ZF160" s="6"/>
      <c r="ZG160" s="6"/>
      <c r="ZH160" s="6"/>
      <c r="ZI160" s="6"/>
      <c r="ZJ160" s="6"/>
      <c r="ZK160" s="6"/>
      <c r="ZL160" s="6"/>
      <c r="ZM160" s="6"/>
      <c r="ZN160" s="6"/>
      <c r="ZO160" s="6"/>
      <c r="ZP160" s="6"/>
      <c r="ZQ160" s="6"/>
      <c r="ZR160" s="6"/>
      <c r="ZS160" s="6"/>
      <c r="ZT160" s="6"/>
      <c r="ZU160" s="6"/>
      <c r="ZV160" s="6"/>
      <c r="ZW160" s="6"/>
      <c r="ZX160" s="6"/>
      <c r="ZY160" s="6"/>
      <c r="ZZ160" s="6"/>
      <c r="AAA160" s="6"/>
      <c r="AAB160" s="6"/>
      <c r="AAC160" s="6"/>
      <c r="AAD160" s="6"/>
      <c r="AAE160" s="6"/>
      <c r="AAF160" s="6"/>
      <c r="AAG160" s="6"/>
      <c r="AAH160" s="6"/>
      <c r="AAI160" s="6"/>
      <c r="AAJ160" s="6"/>
      <c r="AAK160" s="6"/>
      <c r="AAL160" s="6"/>
      <c r="AAM160" s="6"/>
      <c r="AAN160" s="6"/>
      <c r="AAO160" s="6"/>
      <c r="AAP160" s="6"/>
      <c r="AAQ160" s="6"/>
      <c r="AAR160" s="6"/>
      <c r="AAS160" s="6"/>
      <c r="AAT160" s="6"/>
      <c r="AAU160" s="6"/>
      <c r="AAV160" s="6"/>
      <c r="AAW160" s="6"/>
      <c r="AAX160" s="6"/>
      <c r="AAY160" s="6"/>
      <c r="AAZ160" s="6"/>
      <c r="ABA160" s="6"/>
      <c r="ABB160" s="6"/>
      <c r="ABC160" s="6"/>
      <c r="ABD160" s="6"/>
      <c r="ABE160" s="6"/>
      <c r="ABF160" s="6"/>
      <c r="ABG160" s="6"/>
      <c r="ABH160" s="6"/>
      <c r="ABI160" s="6"/>
      <c r="ABJ160" s="6"/>
      <c r="ABK160" s="6"/>
      <c r="ABL160" s="6"/>
      <c r="ABM160" s="6"/>
      <c r="ABN160" s="6"/>
      <c r="ABO160" s="6"/>
      <c r="ABP160" s="6"/>
      <c r="ABQ160" s="6"/>
      <c r="ABR160" s="6"/>
      <c r="ABS160" s="6"/>
      <c r="ABT160" s="6"/>
      <c r="ABU160" s="6"/>
      <c r="ABV160" s="6"/>
      <c r="ABW160" s="6"/>
      <c r="ABX160" s="6"/>
      <c r="ABY160" s="6"/>
      <c r="ABZ160" s="6"/>
      <c r="ACA160" s="6"/>
      <c r="ACB160" s="6"/>
      <c r="ACC160" s="6"/>
      <c r="ACD160" s="6"/>
      <c r="ACE160" s="6"/>
      <c r="ACF160" s="6"/>
      <c r="ACG160" s="6"/>
      <c r="ACH160" s="6"/>
      <c r="ACI160" s="6"/>
      <c r="ACJ160" s="6"/>
      <c r="ACK160" s="6"/>
      <c r="ACL160" s="6"/>
      <c r="ACM160" s="6"/>
      <c r="ACN160" s="6"/>
      <c r="ACO160" s="6"/>
      <c r="ACP160" s="6"/>
      <c r="ACQ160" s="6"/>
      <c r="ACR160" s="6"/>
      <c r="ACS160" s="6"/>
      <c r="ACT160" s="6"/>
      <c r="ACU160" s="6"/>
      <c r="ACV160" s="6"/>
      <c r="ACW160" s="6"/>
      <c r="ACX160" s="6"/>
      <c r="ACY160" s="6"/>
      <c r="ACZ160" s="6"/>
      <c r="ADA160" s="6"/>
      <c r="ADB160" s="6"/>
      <c r="ADC160" s="6"/>
      <c r="ADD160" s="6"/>
      <c r="ADE160" s="6"/>
      <c r="ADF160" s="6"/>
      <c r="ADG160" s="6"/>
      <c r="ADH160" s="6"/>
      <c r="ADI160" s="6"/>
      <c r="ADJ160" s="6"/>
    </row>
    <row r="161" spans="1:790" s="291" customFormat="1" x14ac:dyDescent="0.3">
      <c r="A161" s="399"/>
      <c r="B161" s="430" t="s">
        <v>113</v>
      </c>
      <c r="C161" s="366">
        <v>1</v>
      </c>
      <c r="D161" s="367"/>
      <c r="E161" s="367"/>
      <c r="F161" s="362"/>
      <c r="G161" s="362"/>
      <c r="H161" s="362">
        <f>+PRODUCT(C161:G161)</f>
        <v>1</v>
      </c>
      <c r="I161" s="369" t="s">
        <v>30</v>
      </c>
      <c r="J161" s="362">
        <f>+PRODUCT(C161:G161)</f>
        <v>1</v>
      </c>
      <c r="K161" s="363">
        <v>18000</v>
      </c>
      <c r="L161" s="370">
        <f t="shared" ref="L161" si="161">J161*K161</f>
        <v>18000</v>
      </c>
      <c r="M161" s="490">
        <f t="shared" ref="M161" si="162">K161*(100%-16.5%)</f>
        <v>15030</v>
      </c>
      <c r="N161" s="489">
        <f t="shared" si="138"/>
        <v>15030</v>
      </c>
      <c r="O161" s="308"/>
      <c r="Q161" s="497"/>
      <c r="R161" s="481">
        <f t="shared" si="148"/>
        <v>1</v>
      </c>
      <c r="S161" s="514"/>
      <c r="T161" s="515" t="str">
        <f t="shared" si="143"/>
        <v/>
      </c>
      <c r="U161" s="482">
        <f t="shared" si="144"/>
        <v>1</v>
      </c>
      <c r="V161" s="585"/>
      <c r="W161" s="515" t="str">
        <f t="shared" si="145"/>
        <v/>
      </c>
      <c r="X161" s="507">
        <f t="shared" ref="X161" si="163">V161+S161</f>
        <v>0</v>
      </c>
      <c r="Y161" s="520">
        <f t="shared" ref="Y161" si="164">M161-X161</f>
        <v>15030</v>
      </c>
      <c r="Z161" s="521">
        <f t="shared" ref="Z161" si="165">Y161/M161</f>
        <v>1</v>
      </c>
      <c r="AA161" s="471"/>
      <c r="AB161" s="471"/>
      <c r="AC161" s="471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/>
      <c r="IQ161" s="6"/>
      <c r="IR161" s="6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6"/>
      <c r="KZ161" s="6"/>
      <c r="LA161" s="6"/>
      <c r="LB161" s="6"/>
      <c r="LC161" s="6"/>
      <c r="LD161" s="6"/>
      <c r="LE161" s="6"/>
      <c r="LF161" s="6"/>
      <c r="LG161" s="6"/>
      <c r="LH161" s="6"/>
      <c r="LI161" s="6"/>
      <c r="LJ161" s="6"/>
      <c r="LK161" s="6"/>
      <c r="LL161" s="6"/>
      <c r="LM161" s="6"/>
      <c r="LN161" s="6"/>
      <c r="LO161" s="6"/>
      <c r="LP161" s="6"/>
      <c r="LQ161" s="6"/>
      <c r="LR161" s="6"/>
      <c r="LS161" s="6"/>
      <c r="LT161" s="6"/>
      <c r="LU161" s="6"/>
      <c r="LV161" s="6"/>
      <c r="LW161" s="6"/>
      <c r="LX161" s="6"/>
      <c r="LY161" s="6"/>
      <c r="LZ161" s="6"/>
      <c r="MA161" s="6"/>
      <c r="MB161" s="6"/>
      <c r="MC161" s="6"/>
      <c r="MD161" s="6"/>
      <c r="ME161" s="6"/>
      <c r="MF161" s="6"/>
      <c r="MG161" s="6"/>
      <c r="MH161" s="6"/>
      <c r="MI161" s="6"/>
      <c r="MJ161" s="6"/>
      <c r="MK161" s="6"/>
      <c r="ML161" s="6"/>
      <c r="MM161" s="6"/>
      <c r="MN161" s="6"/>
      <c r="MO161" s="6"/>
      <c r="MP161" s="6"/>
      <c r="MQ161" s="6"/>
      <c r="MR161" s="6"/>
      <c r="MS161" s="6"/>
      <c r="MT161" s="6"/>
      <c r="MU161" s="6"/>
      <c r="MV161" s="6"/>
      <c r="MW161" s="6"/>
      <c r="MX161" s="6"/>
      <c r="MY161" s="6"/>
      <c r="MZ161" s="6"/>
      <c r="NA161" s="6"/>
      <c r="NB161" s="6"/>
      <c r="NC161" s="6"/>
      <c r="ND161" s="6"/>
      <c r="NE161" s="6"/>
      <c r="NF161" s="6"/>
      <c r="NG161" s="6"/>
      <c r="NH161" s="6"/>
      <c r="NI161" s="6"/>
      <c r="NJ161" s="6"/>
      <c r="NK161" s="6"/>
      <c r="NL161" s="6"/>
      <c r="NM161" s="6"/>
      <c r="NN161" s="6"/>
      <c r="NO161" s="6"/>
      <c r="NP161" s="6"/>
      <c r="NQ161" s="6"/>
      <c r="NR161" s="6"/>
      <c r="NS161" s="6"/>
      <c r="NT161" s="6"/>
      <c r="NU161" s="6"/>
      <c r="NV161" s="6"/>
      <c r="NW161" s="6"/>
      <c r="NX161" s="6"/>
      <c r="NY161" s="6"/>
      <c r="NZ161" s="6"/>
      <c r="OA161" s="6"/>
      <c r="OB161" s="6"/>
      <c r="OC161" s="6"/>
      <c r="OD161" s="6"/>
      <c r="OE161" s="6"/>
      <c r="OF161" s="6"/>
      <c r="OG161" s="6"/>
      <c r="OH161" s="6"/>
      <c r="OI161" s="6"/>
      <c r="OJ161" s="6"/>
      <c r="OK161" s="6"/>
      <c r="OL161" s="6"/>
      <c r="OM161" s="6"/>
      <c r="ON161" s="6"/>
      <c r="OO161" s="6"/>
      <c r="OP161" s="6"/>
      <c r="OQ161" s="6"/>
      <c r="OR161" s="6"/>
      <c r="OS161" s="6"/>
      <c r="OT161" s="6"/>
      <c r="OU161" s="6"/>
      <c r="OV161" s="6"/>
      <c r="OW161" s="6"/>
      <c r="OX161" s="6"/>
      <c r="OY161" s="6"/>
      <c r="OZ161" s="6"/>
      <c r="PA161" s="6"/>
      <c r="PB161" s="6"/>
      <c r="PC161" s="6"/>
      <c r="PD161" s="6"/>
      <c r="PE161" s="6"/>
      <c r="PF161" s="6"/>
      <c r="PG161" s="6"/>
      <c r="PH161" s="6"/>
      <c r="PI161" s="6"/>
      <c r="PJ161" s="6"/>
      <c r="PK161" s="6"/>
      <c r="PL161" s="6"/>
      <c r="PM161" s="6"/>
      <c r="PN161" s="6"/>
      <c r="PO161" s="6"/>
      <c r="PP161" s="6"/>
      <c r="PQ161" s="6"/>
      <c r="PR161" s="6"/>
      <c r="PS161" s="6"/>
      <c r="PT161" s="6"/>
      <c r="PU161" s="6"/>
      <c r="PV161" s="6"/>
      <c r="PW161" s="6"/>
      <c r="PX161" s="6"/>
      <c r="PY161" s="6"/>
      <c r="PZ161" s="6"/>
      <c r="QA161" s="6"/>
      <c r="QB161" s="6"/>
      <c r="QC161" s="6"/>
      <c r="QD161" s="6"/>
      <c r="QE161" s="6"/>
      <c r="QF161" s="6"/>
      <c r="QG161" s="6"/>
      <c r="QH161" s="6"/>
      <c r="QI161" s="6"/>
      <c r="QJ161" s="6"/>
      <c r="QK161" s="6"/>
      <c r="QL161" s="6"/>
      <c r="QM161" s="6"/>
      <c r="QN161" s="6"/>
      <c r="QO161" s="6"/>
      <c r="QP161" s="6"/>
      <c r="QQ161" s="6"/>
      <c r="QR161" s="6"/>
      <c r="QS161" s="6"/>
      <c r="QT161" s="6"/>
      <c r="QU161" s="6"/>
      <c r="QV161" s="6"/>
      <c r="QW161" s="6"/>
      <c r="QX161" s="6"/>
      <c r="QY161" s="6"/>
      <c r="QZ161" s="6"/>
      <c r="RA161" s="6"/>
      <c r="RB161" s="6"/>
      <c r="RC161" s="6"/>
      <c r="RD161" s="6"/>
      <c r="RE161" s="6"/>
      <c r="RF161" s="6"/>
      <c r="RG161" s="6"/>
      <c r="RH161" s="6"/>
      <c r="RI161" s="6"/>
      <c r="RJ161" s="6"/>
      <c r="RK161" s="6"/>
      <c r="RL161" s="6"/>
      <c r="RM161" s="6"/>
      <c r="RN161" s="6"/>
      <c r="RO161" s="6"/>
      <c r="RP161" s="6"/>
      <c r="RQ161" s="6"/>
      <c r="RR161" s="6"/>
      <c r="RS161" s="6"/>
      <c r="RT161" s="6"/>
      <c r="RU161" s="6"/>
      <c r="RV161" s="6"/>
      <c r="RW161" s="6"/>
      <c r="RX161" s="6"/>
      <c r="RY161" s="6"/>
      <c r="RZ161" s="6"/>
      <c r="SA161" s="6"/>
      <c r="SB161" s="6"/>
      <c r="SC161" s="6"/>
      <c r="SD161" s="6"/>
      <c r="SE161" s="6"/>
      <c r="SF161" s="6"/>
      <c r="SG161" s="6"/>
      <c r="SH161" s="6"/>
      <c r="SI161" s="6"/>
      <c r="SJ161" s="6"/>
      <c r="SK161" s="6"/>
      <c r="SL161" s="6"/>
      <c r="SM161" s="6"/>
      <c r="SN161" s="6"/>
      <c r="SO161" s="6"/>
      <c r="SP161" s="6"/>
      <c r="SQ161" s="6"/>
      <c r="SR161" s="6"/>
      <c r="SS161" s="6"/>
      <c r="ST161" s="6"/>
      <c r="SU161" s="6"/>
      <c r="SV161" s="6"/>
      <c r="SW161" s="6"/>
      <c r="SX161" s="6"/>
      <c r="SY161" s="6"/>
      <c r="SZ161" s="6"/>
      <c r="TA161" s="6"/>
      <c r="TB161" s="6"/>
      <c r="TC161" s="6"/>
      <c r="TD161" s="6"/>
      <c r="TE161" s="6"/>
      <c r="TF161" s="6"/>
      <c r="TG161" s="6"/>
      <c r="TH161" s="6"/>
      <c r="TI161" s="6"/>
      <c r="TJ161" s="6"/>
      <c r="TK161" s="6"/>
      <c r="TL161" s="6"/>
      <c r="TM161" s="6"/>
      <c r="TN161" s="6"/>
      <c r="TO161" s="6"/>
      <c r="TP161" s="6"/>
      <c r="TQ161" s="6"/>
      <c r="TR161" s="6"/>
      <c r="TS161" s="6"/>
      <c r="TT161" s="6"/>
      <c r="TU161" s="6"/>
      <c r="TV161" s="6"/>
      <c r="TW161" s="6"/>
      <c r="TX161" s="6"/>
      <c r="TY161" s="6"/>
      <c r="TZ161" s="6"/>
      <c r="UA161" s="6"/>
      <c r="UB161" s="6"/>
      <c r="UC161" s="6"/>
      <c r="UD161" s="6"/>
      <c r="UE161" s="6"/>
      <c r="UF161" s="6"/>
      <c r="UG161" s="6"/>
      <c r="UH161" s="6"/>
      <c r="UI161" s="6"/>
      <c r="UJ161" s="6"/>
      <c r="UK161" s="6"/>
      <c r="UL161" s="6"/>
      <c r="UM161" s="6"/>
      <c r="UN161" s="6"/>
      <c r="UO161" s="6"/>
      <c r="UP161" s="6"/>
      <c r="UQ161" s="6"/>
      <c r="UR161" s="6"/>
      <c r="US161" s="6"/>
      <c r="UT161" s="6"/>
      <c r="UU161" s="6"/>
      <c r="UV161" s="6"/>
      <c r="UW161" s="6"/>
      <c r="UX161" s="6"/>
      <c r="UY161" s="6"/>
      <c r="UZ161" s="6"/>
      <c r="VA161" s="6"/>
      <c r="VB161" s="6"/>
      <c r="VC161" s="6"/>
      <c r="VD161" s="6"/>
      <c r="VE161" s="6"/>
      <c r="VF161" s="6"/>
      <c r="VG161" s="6"/>
      <c r="VH161" s="6"/>
      <c r="VI161" s="6"/>
      <c r="VJ161" s="6"/>
      <c r="VK161" s="6"/>
      <c r="VL161" s="6"/>
      <c r="VM161" s="6"/>
      <c r="VN161" s="6"/>
      <c r="VO161" s="6"/>
      <c r="VP161" s="6"/>
      <c r="VQ161" s="6"/>
      <c r="VR161" s="6"/>
      <c r="VS161" s="6"/>
      <c r="VT161" s="6"/>
      <c r="VU161" s="6"/>
      <c r="VV161" s="6"/>
      <c r="VW161" s="6"/>
      <c r="VX161" s="6"/>
      <c r="VY161" s="6"/>
      <c r="VZ161" s="6"/>
      <c r="WA161" s="6"/>
      <c r="WB161" s="6"/>
      <c r="WC161" s="6"/>
      <c r="WD161" s="6"/>
      <c r="WE161" s="6"/>
      <c r="WF161" s="6"/>
      <c r="WG161" s="6"/>
      <c r="WH161" s="6"/>
      <c r="WI161" s="6"/>
      <c r="WJ161" s="6"/>
      <c r="WK161" s="6"/>
      <c r="WL161" s="6"/>
      <c r="WM161" s="6"/>
      <c r="WN161" s="6"/>
      <c r="WO161" s="6"/>
      <c r="WP161" s="6"/>
      <c r="WQ161" s="6"/>
      <c r="WR161" s="6"/>
      <c r="WS161" s="6"/>
      <c r="WT161" s="6"/>
      <c r="WU161" s="6"/>
      <c r="WV161" s="6"/>
      <c r="WW161" s="6"/>
      <c r="WX161" s="6"/>
      <c r="WY161" s="6"/>
      <c r="WZ161" s="6"/>
      <c r="XA161" s="6"/>
      <c r="XB161" s="6"/>
      <c r="XC161" s="6"/>
      <c r="XD161" s="6"/>
      <c r="XE161" s="6"/>
      <c r="XF161" s="6"/>
      <c r="XG161" s="6"/>
      <c r="XH161" s="6"/>
      <c r="XI161" s="6"/>
      <c r="XJ161" s="6"/>
      <c r="XK161" s="6"/>
      <c r="XL161" s="6"/>
      <c r="XM161" s="6"/>
      <c r="XN161" s="6"/>
      <c r="XO161" s="6"/>
      <c r="XP161" s="6"/>
      <c r="XQ161" s="6"/>
      <c r="XR161" s="6"/>
      <c r="XS161" s="6"/>
      <c r="XT161" s="6"/>
      <c r="XU161" s="6"/>
      <c r="XV161" s="6"/>
      <c r="XW161" s="6"/>
      <c r="XX161" s="6"/>
      <c r="XY161" s="6"/>
      <c r="XZ161" s="6"/>
      <c r="YA161" s="6"/>
      <c r="YB161" s="6"/>
      <c r="YC161" s="6"/>
      <c r="YD161" s="6"/>
      <c r="YE161" s="6"/>
      <c r="YF161" s="6"/>
      <c r="YG161" s="6"/>
      <c r="YH161" s="6"/>
      <c r="YI161" s="6"/>
      <c r="YJ161" s="6"/>
      <c r="YK161" s="6"/>
      <c r="YL161" s="6"/>
      <c r="YM161" s="6"/>
      <c r="YN161" s="6"/>
      <c r="YO161" s="6"/>
      <c r="YP161" s="6"/>
      <c r="YQ161" s="6"/>
      <c r="YR161" s="6"/>
      <c r="YS161" s="6"/>
      <c r="YT161" s="6"/>
      <c r="YU161" s="6"/>
      <c r="YV161" s="6"/>
      <c r="YW161" s="6"/>
      <c r="YX161" s="6"/>
      <c r="YY161" s="6"/>
      <c r="YZ161" s="6"/>
      <c r="ZA161" s="6"/>
      <c r="ZB161" s="6"/>
      <c r="ZC161" s="6"/>
      <c r="ZD161" s="6"/>
      <c r="ZE161" s="6"/>
      <c r="ZF161" s="6"/>
      <c r="ZG161" s="6"/>
      <c r="ZH161" s="6"/>
      <c r="ZI161" s="6"/>
      <c r="ZJ161" s="6"/>
      <c r="ZK161" s="6"/>
      <c r="ZL161" s="6"/>
      <c r="ZM161" s="6"/>
      <c r="ZN161" s="6"/>
      <c r="ZO161" s="6"/>
      <c r="ZP161" s="6"/>
      <c r="ZQ161" s="6"/>
      <c r="ZR161" s="6"/>
      <c r="ZS161" s="6"/>
      <c r="ZT161" s="6"/>
      <c r="ZU161" s="6"/>
      <c r="ZV161" s="6"/>
      <c r="ZW161" s="6"/>
      <c r="ZX161" s="6"/>
      <c r="ZY161" s="6"/>
      <c r="ZZ161" s="6"/>
      <c r="AAA161" s="6"/>
      <c r="AAB161" s="6"/>
      <c r="AAC161" s="6"/>
      <c r="AAD161" s="6"/>
      <c r="AAE161" s="6"/>
      <c r="AAF161" s="6"/>
      <c r="AAG161" s="6"/>
      <c r="AAH161" s="6"/>
      <c r="AAI161" s="6"/>
      <c r="AAJ161" s="6"/>
      <c r="AAK161" s="6"/>
      <c r="AAL161" s="6"/>
      <c r="AAM161" s="6"/>
      <c r="AAN161" s="6"/>
      <c r="AAO161" s="6"/>
      <c r="AAP161" s="6"/>
      <c r="AAQ161" s="6"/>
      <c r="AAR161" s="6"/>
      <c r="AAS161" s="6"/>
      <c r="AAT161" s="6"/>
      <c r="AAU161" s="6"/>
      <c r="AAV161" s="6"/>
      <c r="AAW161" s="6"/>
      <c r="AAX161" s="6"/>
      <c r="AAY161" s="6"/>
      <c r="AAZ161" s="6"/>
      <c r="ABA161" s="6"/>
      <c r="ABB161" s="6"/>
      <c r="ABC161" s="6"/>
      <c r="ABD161" s="6"/>
      <c r="ABE161" s="6"/>
      <c r="ABF161" s="6"/>
      <c r="ABG161" s="6"/>
      <c r="ABH161" s="6"/>
      <c r="ABI161" s="6"/>
      <c r="ABJ161" s="6"/>
      <c r="ABK161" s="6"/>
      <c r="ABL161" s="6"/>
      <c r="ABM161" s="6"/>
      <c r="ABN161" s="6"/>
      <c r="ABO161" s="6"/>
      <c r="ABP161" s="6"/>
      <c r="ABQ161" s="6"/>
      <c r="ABR161" s="6"/>
      <c r="ABS161" s="6"/>
      <c r="ABT161" s="6"/>
      <c r="ABU161" s="6"/>
      <c r="ABV161" s="6"/>
      <c r="ABW161" s="6"/>
      <c r="ABX161" s="6"/>
      <c r="ABY161" s="6"/>
      <c r="ABZ161" s="6"/>
      <c r="ACA161" s="6"/>
      <c r="ACB161" s="6"/>
      <c r="ACC161" s="6"/>
      <c r="ACD161" s="6"/>
      <c r="ACE161" s="6"/>
      <c r="ACF161" s="6"/>
      <c r="ACG161" s="6"/>
      <c r="ACH161" s="6"/>
      <c r="ACI161" s="6"/>
      <c r="ACJ161" s="6"/>
      <c r="ACK161" s="6"/>
      <c r="ACL161" s="6"/>
      <c r="ACM161" s="6"/>
      <c r="ACN161" s="6"/>
      <c r="ACO161" s="6"/>
      <c r="ACP161" s="6"/>
      <c r="ACQ161" s="6"/>
      <c r="ACR161" s="6"/>
      <c r="ACS161" s="6"/>
      <c r="ACT161" s="6"/>
      <c r="ACU161" s="6"/>
      <c r="ACV161" s="6"/>
      <c r="ACW161" s="6"/>
      <c r="ACX161" s="6"/>
      <c r="ACY161" s="6"/>
      <c r="ACZ161" s="6"/>
      <c r="ADA161" s="6"/>
      <c r="ADB161" s="6"/>
      <c r="ADC161" s="6"/>
      <c r="ADD161" s="6"/>
      <c r="ADE161" s="6"/>
      <c r="ADF161" s="6"/>
      <c r="ADG161" s="6"/>
      <c r="ADH161" s="6"/>
      <c r="ADI161" s="6"/>
      <c r="ADJ161" s="6"/>
    </row>
    <row r="162" spans="1:790" s="291" customFormat="1" x14ac:dyDescent="0.3">
      <c r="A162" s="399"/>
      <c r="B162" s="571"/>
      <c r="C162" s="366"/>
      <c r="D162" s="367"/>
      <c r="E162" s="367"/>
      <c r="F162" s="367"/>
      <c r="G162" s="427"/>
      <c r="H162" s="427"/>
      <c r="I162" s="369"/>
      <c r="J162" s="403"/>
      <c r="K162" s="363"/>
      <c r="L162" s="370"/>
      <c r="M162" s="490"/>
      <c r="N162" s="489" t="str">
        <f t="shared" si="138"/>
        <v/>
      </c>
      <c r="O162" s="308"/>
      <c r="Q162" s="497"/>
      <c r="R162" s="481"/>
      <c r="S162" s="514"/>
      <c r="T162" s="515" t="str">
        <f t="shared" si="143"/>
        <v/>
      </c>
      <c r="U162" s="482" t="str">
        <f t="shared" si="144"/>
        <v/>
      </c>
      <c r="V162" s="514"/>
      <c r="W162" s="515" t="str">
        <f t="shared" si="145"/>
        <v/>
      </c>
      <c r="X162" s="507"/>
      <c r="Y162" s="507"/>
      <c r="Z162" s="478"/>
      <c r="AA162" s="471"/>
      <c r="AB162" s="471"/>
      <c r="AC162" s="471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6"/>
      <c r="KZ162" s="6"/>
      <c r="LA162" s="6"/>
      <c r="LB162" s="6"/>
      <c r="LC162" s="6"/>
      <c r="LD162" s="6"/>
      <c r="LE162" s="6"/>
      <c r="LF162" s="6"/>
      <c r="LG162" s="6"/>
      <c r="LH162" s="6"/>
      <c r="LI162" s="6"/>
      <c r="LJ162" s="6"/>
      <c r="LK162" s="6"/>
      <c r="LL162" s="6"/>
      <c r="LM162" s="6"/>
      <c r="LN162" s="6"/>
      <c r="LO162" s="6"/>
      <c r="LP162" s="6"/>
      <c r="LQ162" s="6"/>
      <c r="LR162" s="6"/>
      <c r="LS162" s="6"/>
      <c r="LT162" s="6"/>
      <c r="LU162" s="6"/>
      <c r="LV162" s="6"/>
      <c r="LW162" s="6"/>
      <c r="LX162" s="6"/>
      <c r="LY162" s="6"/>
      <c r="LZ162" s="6"/>
      <c r="MA162" s="6"/>
      <c r="MB162" s="6"/>
      <c r="MC162" s="6"/>
      <c r="MD162" s="6"/>
      <c r="ME162" s="6"/>
      <c r="MF162" s="6"/>
      <c r="MG162" s="6"/>
      <c r="MH162" s="6"/>
      <c r="MI162" s="6"/>
      <c r="MJ162" s="6"/>
      <c r="MK162" s="6"/>
      <c r="ML162" s="6"/>
      <c r="MM162" s="6"/>
      <c r="MN162" s="6"/>
      <c r="MO162" s="6"/>
      <c r="MP162" s="6"/>
      <c r="MQ162" s="6"/>
      <c r="MR162" s="6"/>
      <c r="MS162" s="6"/>
      <c r="MT162" s="6"/>
      <c r="MU162" s="6"/>
      <c r="MV162" s="6"/>
      <c r="MW162" s="6"/>
      <c r="MX162" s="6"/>
      <c r="MY162" s="6"/>
      <c r="MZ162" s="6"/>
      <c r="NA162" s="6"/>
      <c r="NB162" s="6"/>
      <c r="NC162" s="6"/>
      <c r="ND162" s="6"/>
      <c r="NE162" s="6"/>
      <c r="NF162" s="6"/>
      <c r="NG162" s="6"/>
      <c r="NH162" s="6"/>
      <c r="NI162" s="6"/>
      <c r="NJ162" s="6"/>
      <c r="NK162" s="6"/>
      <c r="NL162" s="6"/>
      <c r="NM162" s="6"/>
      <c r="NN162" s="6"/>
      <c r="NO162" s="6"/>
      <c r="NP162" s="6"/>
      <c r="NQ162" s="6"/>
      <c r="NR162" s="6"/>
      <c r="NS162" s="6"/>
      <c r="NT162" s="6"/>
      <c r="NU162" s="6"/>
      <c r="NV162" s="6"/>
      <c r="NW162" s="6"/>
      <c r="NX162" s="6"/>
      <c r="NY162" s="6"/>
      <c r="NZ162" s="6"/>
      <c r="OA162" s="6"/>
      <c r="OB162" s="6"/>
      <c r="OC162" s="6"/>
      <c r="OD162" s="6"/>
      <c r="OE162" s="6"/>
      <c r="OF162" s="6"/>
      <c r="OG162" s="6"/>
      <c r="OH162" s="6"/>
      <c r="OI162" s="6"/>
      <c r="OJ162" s="6"/>
      <c r="OK162" s="6"/>
      <c r="OL162" s="6"/>
      <c r="OM162" s="6"/>
      <c r="ON162" s="6"/>
      <c r="OO162" s="6"/>
      <c r="OP162" s="6"/>
      <c r="OQ162" s="6"/>
      <c r="OR162" s="6"/>
      <c r="OS162" s="6"/>
      <c r="OT162" s="6"/>
      <c r="OU162" s="6"/>
      <c r="OV162" s="6"/>
      <c r="OW162" s="6"/>
      <c r="OX162" s="6"/>
      <c r="OY162" s="6"/>
      <c r="OZ162" s="6"/>
      <c r="PA162" s="6"/>
      <c r="PB162" s="6"/>
      <c r="PC162" s="6"/>
      <c r="PD162" s="6"/>
      <c r="PE162" s="6"/>
      <c r="PF162" s="6"/>
      <c r="PG162" s="6"/>
      <c r="PH162" s="6"/>
      <c r="PI162" s="6"/>
      <c r="PJ162" s="6"/>
      <c r="PK162" s="6"/>
      <c r="PL162" s="6"/>
      <c r="PM162" s="6"/>
      <c r="PN162" s="6"/>
      <c r="PO162" s="6"/>
      <c r="PP162" s="6"/>
      <c r="PQ162" s="6"/>
      <c r="PR162" s="6"/>
      <c r="PS162" s="6"/>
      <c r="PT162" s="6"/>
      <c r="PU162" s="6"/>
      <c r="PV162" s="6"/>
      <c r="PW162" s="6"/>
      <c r="PX162" s="6"/>
      <c r="PY162" s="6"/>
      <c r="PZ162" s="6"/>
      <c r="QA162" s="6"/>
      <c r="QB162" s="6"/>
      <c r="QC162" s="6"/>
      <c r="QD162" s="6"/>
      <c r="QE162" s="6"/>
      <c r="QF162" s="6"/>
      <c r="QG162" s="6"/>
      <c r="QH162" s="6"/>
      <c r="QI162" s="6"/>
      <c r="QJ162" s="6"/>
      <c r="QK162" s="6"/>
      <c r="QL162" s="6"/>
      <c r="QM162" s="6"/>
      <c r="QN162" s="6"/>
      <c r="QO162" s="6"/>
      <c r="QP162" s="6"/>
      <c r="QQ162" s="6"/>
      <c r="QR162" s="6"/>
      <c r="QS162" s="6"/>
      <c r="QT162" s="6"/>
      <c r="QU162" s="6"/>
      <c r="QV162" s="6"/>
      <c r="QW162" s="6"/>
      <c r="QX162" s="6"/>
      <c r="QY162" s="6"/>
      <c r="QZ162" s="6"/>
      <c r="RA162" s="6"/>
      <c r="RB162" s="6"/>
      <c r="RC162" s="6"/>
      <c r="RD162" s="6"/>
      <c r="RE162" s="6"/>
      <c r="RF162" s="6"/>
      <c r="RG162" s="6"/>
      <c r="RH162" s="6"/>
      <c r="RI162" s="6"/>
      <c r="RJ162" s="6"/>
      <c r="RK162" s="6"/>
      <c r="RL162" s="6"/>
      <c r="RM162" s="6"/>
      <c r="RN162" s="6"/>
      <c r="RO162" s="6"/>
      <c r="RP162" s="6"/>
      <c r="RQ162" s="6"/>
      <c r="RR162" s="6"/>
      <c r="RS162" s="6"/>
      <c r="RT162" s="6"/>
      <c r="RU162" s="6"/>
      <c r="RV162" s="6"/>
      <c r="RW162" s="6"/>
      <c r="RX162" s="6"/>
      <c r="RY162" s="6"/>
      <c r="RZ162" s="6"/>
      <c r="SA162" s="6"/>
      <c r="SB162" s="6"/>
      <c r="SC162" s="6"/>
      <c r="SD162" s="6"/>
      <c r="SE162" s="6"/>
      <c r="SF162" s="6"/>
      <c r="SG162" s="6"/>
      <c r="SH162" s="6"/>
      <c r="SI162" s="6"/>
      <c r="SJ162" s="6"/>
      <c r="SK162" s="6"/>
      <c r="SL162" s="6"/>
      <c r="SM162" s="6"/>
      <c r="SN162" s="6"/>
      <c r="SO162" s="6"/>
      <c r="SP162" s="6"/>
      <c r="SQ162" s="6"/>
      <c r="SR162" s="6"/>
      <c r="SS162" s="6"/>
      <c r="ST162" s="6"/>
      <c r="SU162" s="6"/>
      <c r="SV162" s="6"/>
      <c r="SW162" s="6"/>
      <c r="SX162" s="6"/>
      <c r="SY162" s="6"/>
      <c r="SZ162" s="6"/>
      <c r="TA162" s="6"/>
      <c r="TB162" s="6"/>
      <c r="TC162" s="6"/>
      <c r="TD162" s="6"/>
      <c r="TE162" s="6"/>
      <c r="TF162" s="6"/>
      <c r="TG162" s="6"/>
      <c r="TH162" s="6"/>
      <c r="TI162" s="6"/>
      <c r="TJ162" s="6"/>
      <c r="TK162" s="6"/>
      <c r="TL162" s="6"/>
      <c r="TM162" s="6"/>
      <c r="TN162" s="6"/>
      <c r="TO162" s="6"/>
      <c r="TP162" s="6"/>
      <c r="TQ162" s="6"/>
      <c r="TR162" s="6"/>
      <c r="TS162" s="6"/>
      <c r="TT162" s="6"/>
      <c r="TU162" s="6"/>
      <c r="TV162" s="6"/>
      <c r="TW162" s="6"/>
      <c r="TX162" s="6"/>
      <c r="TY162" s="6"/>
      <c r="TZ162" s="6"/>
      <c r="UA162" s="6"/>
      <c r="UB162" s="6"/>
      <c r="UC162" s="6"/>
      <c r="UD162" s="6"/>
      <c r="UE162" s="6"/>
      <c r="UF162" s="6"/>
      <c r="UG162" s="6"/>
      <c r="UH162" s="6"/>
      <c r="UI162" s="6"/>
      <c r="UJ162" s="6"/>
      <c r="UK162" s="6"/>
      <c r="UL162" s="6"/>
      <c r="UM162" s="6"/>
      <c r="UN162" s="6"/>
      <c r="UO162" s="6"/>
      <c r="UP162" s="6"/>
      <c r="UQ162" s="6"/>
      <c r="UR162" s="6"/>
      <c r="US162" s="6"/>
      <c r="UT162" s="6"/>
      <c r="UU162" s="6"/>
      <c r="UV162" s="6"/>
      <c r="UW162" s="6"/>
      <c r="UX162" s="6"/>
      <c r="UY162" s="6"/>
      <c r="UZ162" s="6"/>
      <c r="VA162" s="6"/>
      <c r="VB162" s="6"/>
      <c r="VC162" s="6"/>
      <c r="VD162" s="6"/>
      <c r="VE162" s="6"/>
      <c r="VF162" s="6"/>
      <c r="VG162" s="6"/>
      <c r="VH162" s="6"/>
      <c r="VI162" s="6"/>
      <c r="VJ162" s="6"/>
      <c r="VK162" s="6"/>
      <c r="VL162" s="6"/>
      <c r="VM162" s="6"/>
      <c r="VN162" s="6"/>
      <c r="VO162" s="6"/>
      <c r="VP162" s="6"/>
      <c r="VQ162" s="6"/>
      <c r="VR162" s="6"/>
      <c r="VS162" s="6"/>
      <c r="VT162" s="6"/>
      <c r="VU162" s="6"/>
      <c r="VV162" s="6"/>
      <c r="VW162" s="6"/>
      <c r="VX162" s="6"/>
      <c r="VY162" s="6"/>
      <c r="VZ162" s="6"/>
      <c r="WA162" s="6"/>
      <c r="WB162" s="6"/>
      <c r="WC162" s="6"/>
      <c r="WD162" s="6"/>
      <c r="WE162" s="6"/>
      <c r="WF162" s="6"/>
      <c r="WG162" s="6"/>
      <c r="WH162" s="6"/>
      <c r="WI162" s="6"/>
      <c r="WJ162" s="6"/>
      <c r="WK162" s="6"/>
      <c r="WL162" s="6"/>
      <c r="WM162" s="6"/>
      <c r="WN162" s="6"/>
      <c r="WO162" s="6"/>
      <c r="WP162" s="6"/>
      <c r="WQ162" s="6"/>
      <c r="WR162" s="6"/>
      <c r="WS162" s="6"/>
      <c r="WT162" s="6"/>
      <c r="WU162" s="6"/>
      <c r="WV162" s="6"/>
      <c r="WW162" s="6"/>
      <c r="WX162" s="6"/>
      <c r="WY162" s="6"/>
      <c r="WZ162" s="6"/>
      <c r="XA162" s="6"/>
      <c r="XB162" s="6"/>
      <c r="XC162" s="6"/>
      <c r="XD162" s="6"/>
      <c r="XE162" s="6"/>
      <c r="XF162" s="6"/>
      <c r="XG162" s="6"/>
      <c r="XH162" s="6"/>
      <c r="XI162" s="6"/>
      <c r="XJ162" s="6"/>
      <c r="XK162" s="6"/>
      <c r="XL162" s="6"/>
      <c r="XM162" s="6"/>
      <c r="XN162" s="6"/>
      <c r="XO162" s="6"/>
      <c r="XP162" s="6"/>
      <c r="XQ162" s="6"/>
      <c r="XR162" s="6"/>
      <c r="XS162" s="6"/>
      <c r="XT162" s="6"/>
      <c r="XU162" s="6"/>
      <c r="XV162" s="6"/>
      <c r="XW162" s="6"/>
      <c r="XX162" s="6"/>
      <c r="XY162" s="6"/>
      <c r="XZ162" s="6"/>
      <c r="YA162" s="6"/>
      <c r="YB162" s="6"/>
      <c r="YC162" s="6"/>
      <c r="YD162" s="6"/>
      <c r="YE162" s="6"/>
      <c r="YF162" s="6"/>
      <c r="YG162" s="6"/>
      <c r="YH162" s="6"/>
      <c r="YI162" s="6"/>
      <c r="YJ162" s="6"/>
      <c r="YK162" s="6"/>
      <c r="YL162" s="6"/>
      <c r="YM162" s="6"/>
      <c r="YN162" s="6"/>
      <c r="YO162" s="6"/>
      <c r="YP162" s="6"/>
      <c r="YQ162" s="6"/>
      <c r="YR162" s="6"/>
      <c r="YS162" s="6"/>
      <c r="YT162" s="6"/>
      <c r="YU162" s="6"/>
      <c r="YV162" s="6"/>
      <c r="YW162" s="6"/>
      <c r="YX162" s="6"/>
      <c r="YY162" s="6"/>
      <c r="YZ162" s="6"/>
      <c r="ZA162" s="6"/>
      <c r="ZB162" s="6"/>
      <c r="ZC162" s="6"/>
      <c r="ZD162" s="6"/>
      <c r="ZE162" s="6"/>
      <c r="ZF162" s="6"/>
      <c r="ZG162" s="6"/>
      <c r="ZH162" s="6"/>
      <c r="ZI162" s="6"/>
      <c r="ZJ162" s="6"/>
      <c r="ZK162" s="6"/>
      <c r="ZL162" s="6"/>
      <c r="ZM162" s="6"/>
      <c r="ZN162" s="6"/>
      <c r="ZO162" s="6"/>
      <c r="ZP162" s="6"/>
      <c r="ZQ162" s="6"/>
      <c r="ZR162" s="6"/>
      <c r="ZS162" s="6"/>
      <c r="ZT162" s="6"/>
      <c r="ZU162" s="6"/>
      <c r="ZV162" s="6"/>
      <c r="ZW162" s="6"/>
      <c r="ZX162" s="6"/>
      <c r="ZY162" s="6"/>
      <c r="ZZ162" s="6"/>
      <c r="AAA162" s="6"/>
      <c r="AAB162" s="6"/>
      <c r="AAC162" s="6"/>
      <c r="AAD162" s="6"/>
      <c r="AAE162" s="6"/>
      <c r="AAF162" s="6"/>
      <c r="AAG162" s="6"/>
      <c r="AAH162" s="6"/>
      <c r="AAI162" s="6"/>
      <c r="AAJ162" s="6"/>
      <c r="AAK162" s="6"/>
      <c r="AAL162" s="6"/>
      <c r="AAM162" s="6"/>
      <c r="AAN162" s="6"/>
      <c r="AAO162" s="6"/>
      <c r="AAP162" s="6"/>
      <c r="AAQ162" s="6"/>
      <c r="AAR162" s="6"/>
      <c r="AAS162" s="6"/>
      <c r="AAT162" s="6"/>
      <c r="AAU162" s="6"/>
      <c r="AAV162" s="6"/>
      <c r="AAW162" s="6"/>
      <c r="AAX162" s="6"/>
      <c r="AAY162" s="6"/>
      <c r="AAZ162" s="6"/>
      <c r="ABA162" s="6"/>
      <c r="ABB162" s="6"/>
      <c r="ABC162" s="6"/>
      <c r="ABD162" s="6"/>
      <c r="ABE162" s="6"/>
      <c r="ABF162" s="6"/>
      <c r="ABG162" s="6"/>
      <c r="ABH162" s="6"/>
      <c r="ABI162" s="6"/>
      <c r="ABJ162" s="6"/>
      <c r="ABK162" s="6"/>
      <c r="ABL162" s="6"/>
      <c r="ABM162" s="6"/>
      <c r="ABN162" s="6"/>
      <c r="ABO162" s="6"/>
      <c r="ABP162" s="6"/>
      <c r="ABQ162" s="6"/>
      <c r="ABR162" s="6"/>
      <c r="ABS162" s="6"/>
      <c r="ABT162" s="6"/>
      <c r="ABU162" s="6"/>
      <c r="ABV162" s="6"/>
      <c r="ABW162" s="6"/>
      <c r="ABX162" s="6"/>
      <c r="ABY162" s="6"/>
      <c r="ABZ162" s="6"/>
      <c r="ACA162" s="6"/>
      <c r="ACB162" s="6"/>
      <c r="ACC162" s="6"/>
      <c r="ACD162" s="6"/>
      <c r="ACE162" s="6"/>
      <c r="ACF162" s="6"/>
      <c r="ACG162" s="6"/>
      <c r="ACH162" s="6"/>
      <c r="ACI162" s="6"/>
      <c r="ACJ162" s="6"/>
      <c r="ACK162" s="6"/>
      <c r="ACL162" s="6"/>
      <c r="ACM162" s="6"/>
      <c r="ACN162" s="6"/>
      <c r="ACO162" s="6"/>
      <c r="ACP162" s="6"/>
      <c r="ACQ162" s="6"/>
      <c r="ACR162" s="6"/>
      <c r="ACS162" s="6"/>
      <c r="ACT162" s="6"/>
      <c r="ACU162" s="6"/>
      <c r="ACV162" s="6"/>
      <c r="ACW162" s="6"/>
      <c r="ACX162" s="6"/>
      <c r="ACY162" s="6"/>
      <c r="ACZ162" s="6"/>
      <c r="ADA162" s="6"/>
      <c r="ADB162" s="6"/>
      <c r="ADC162" s="6"/>
      <c r="ADD162" s="6"/>
      <c r="ADE162" s="6"/>
      <c r="ADF162" s="6"/>
      <c r="ADG162" s="6"/>
      <c r="ADH162" s="6"/>
      <c r="ADI162" s="6"/>
      <c r="ADJ162" s="6"/>
    </row>
    <row r="163" spans="1:790" s="291" customFormat="1" x14ac:dyDescent="0.3">
      <c r="A163" s="399"/>
      <c r="B163" s="430" t="s">
        <v>114</v>
      </c>
      <c r="C163" s="366"/>
      <c r="D163" s="367"/>
      <c r="E163" s="367"/>
      <c r="F163" s="362"/>
      <c r="G163" s="362"/>
      <c r="H163" s="362"/>
      <c r="I163" s="369"/>
      <c r="J163" s="362"/>
      <c r="K163" s="363"/>
      <c r="L163" s="370"/>
      <c r="M163" s="490"/>
      <c r="N163" s="489" t="str">
        <f t="shared" si="138"/>
        <v/>
      </c>
      <c r="O163" s="308"/>
      <c r="Q163" s="497"/>
      <c r="R163" s="481"/>
      <c r="S163" s="514"/>
      <c r="T163" s="515" t="str">
        <f t="shared" si="143"/>
        <v/>
      </c>
      <c r="U163" s="482" t="str">
        <f t="shared" si="144"/>
        <v/>
      </c>
      <c r="V163" s="514"/>
      <c r="W163" s="515" t="str">
        <f t="shared" si="145"/>
        <v/>
      </c>
      <c r="X163" s="507"/>
      <c r="Y163" s="507"/>
      <c r="Z163" s="478"/>
      <c r="AA163" s="471"/>
      <c r="AB163" s="471"/>
      <c r="AC163" s="471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/>
      <c r="IQ163" s="6"/>
      <c r="IR163" s="6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6"/>
      <c r="KZ163" s="6"/>
      <c r="LA163" s="6"/>
      <c r="LB163" s="6"/>
      <c r="LC163" s="6"/>
      <c r="LD163" s="6"/>
      <c r="LE163" s="6"/>
      <c r="LF163" s="6"/>
      <c r="LG163" s="6"/>
      <c r="LH163" s="6"/>
      <c r="LI163" s="6"/>
      <c r="LJ163" s="6"/>
      <c r="LK163" s="6"/>
      <c r="LL163" s="6"/>
      <c r="LM163" s="6"/>
      <c r="LN163" s="6"/>
      <c r="LO163" s="6"/>
      <c r="LP163" s="6"/>
      <c r="LQ163" s="6"/>
      <c r="LR163" s="6"/>
      <c r="LS163" s="6"/>
      <c r="LT163" s="6"/>
      <c r="LU163" s="6"/>
      <c r="LV163" s="6"/>
      <c r="LW163" s="6"/>
      <c r="LX163" s="6"/>
      <c r="LY163" s="6"/>
      <c r="LZ163" s="6"/>
      <c r="MA163" s="6"/>
      <c r="MB163" s="6"/>
      <c r="MC163" s="6"/>
      <c r="MD163" s="6"/>
      <c r="ME163" s="6"/>
      <c r="MF163" s="6"/>
      <c r="MG163" s="6"/>
      <c r="MH163" s="6"/>
      <c r="MI163" s="6"/>
      <c r="MJ163" s="6"/>
      <c r="MK163" s="6"/>
      <c r="ML163" s="6"/>
      <c r="MM163" s="6"/>
      <c r="MN163" s="6"/>
      <c r="MO163" s="6"/>
      <c r="MP163" s="6"/>
      <c r="MQ163" s="6"/>
      <c r="MR163" s="6"/>
      <c r="MS163" s="6"/>
      <c r="MT163" s="6"/>
      <c r="MU163" s="6"/>
      <c r="MV163" s="6"/>
      <c r="MW163" s="6"/>
      <c r="MX163" s="6"/>
      <c r="MY163" s="6"/>
      <c r="MZ163" s="6"/>
      <c r="NA163" s="6"/>
      <c r="NB163" s="6"/>
      <c r="NC163" s="6"/>
      <c r="ND163" s="6"/>
      <c r="NE163" s="6"/>
      <c r="NF163" s="6"/>
      <c r="NG163" s="6"/>
      <c r="NH163" s="6"/>
      <c r="NI163" s="6"/>
      <c r="NJ163" s="6"/>
      <c r="NK163" s="6"/>
      <c r="NL163" s="6"/>
      <c r="NM163" s="6"/>
      <c r="NN163" s="6"/>
      <c r="NO163" s="6"/>
      <c r="NP163" s="6"/>
      <c r="NQ163" s="6"/>
      <c r="NR163" s="6"/>
      <c r="NS163" s="6"/>
      <c r="NT163" s="6"/>
      <c r="NU163" s="6"/>
      <c r="NV163" s="6"/>
      <c r="NW163" s="6"/>
      <c r="NX163" s="6"/>
      <c r="NY163" s="6"/>
      <c r="NZ163" s="6"/>
      <c r="OA163" s="6"/>
      <c r="OB163" s="6"/>
      <c r="OC163" s="6"/>
      <c r="OD163" s="6"/>
      <c r="OE163" s="6"/>
      <c r="OF163" s="6"/>
      <c r="OG163" s="6"/>
      <c r="OH163" s="6"/>
      <c r="OI163" s="6"/>
      <c r="OJ163" s="6"/>
      <c r="OK163" s="6"/>
      <c r="OL163" s="6"/>
      <c r="OM163" s="6"/>
      <c r="ON163" s="6"/>
      <c r="OO163" s="6"/>
      <c r="OP163" s="6"/>
      <c r="OQ163" s="6"/>
      <c r="OR163" s="6"/>
      <c r="OS163" s="6"/>
      <c r="OT163" s="6"/>
      <c r="OU163" s="6"/>
      <c r="OV163" s="6"/>
      <c r="OW163" s="6"/>
      <c r="OX163" s="6"/>
      <c r="OY163" s="6"/>
      <c r="OZ163" s="6"/>
      <c r="PA163" s="6"/>
      <c r="PB163" s="6"/>
      <c r="PC163" s="6"/>
      <c r="PD163" s="6"/>
      <c r="PE163" s="6"/>
      <c r="PF163" s="6"/>
      <c r="PG163" s="6"/>
      <c r="PH163" s="6"/>
      <c r="PI163" s="6"/>
      <c r="PJ163" s="6"/>
      <c r="PK163" s="6"/>
      <c r="PL163" s="6"/>
      <c r="PM163" s="6"/>
      <c r="PN163" s="6"/>
      <c r="PO163" s="6"/>
      <c r="PP163" s="6"/>
      <c r="PQ163" s="6"/>
      <c r="PR163" s="6"/>
      <c r="PS163" s="6"/>
      <c r="PT163" s="6"/>
      <c r="PU163" s="6"/>
      <c r="PV163" s="6"/>
      <c r="PW163" s="6"/>
      <c r="PX163" s="6"/>
      <c r="PY163" s="6"/>
      <c r="PZ163" s="6"/>
      <c r="QA163" s="6"/>
      <c r="QB163" s="6"/>
      <c r="QC163" s="6"/>
      <c r="QD163" s="6"/>
      <c r="QE163" s="6"/>
      <c r="QF163" s="6"/>
      <c r="QG163" s="6"/>
      <c r="QH163" s="6"/>
      <c r="QI163" s="6"/>
      <c r="QJ163" s="6"/>
      <c r="QK163" s="6"/>
      <c r="QL163" s="6"/>
      <c r="QM163" s="6"/>
      <c r="QN163" s="6"/>
      <c r="QO163" s="6"/>
      <c r="QP163" s="6"/>
      <c r="QQ163" s="6"/>
      <c r="QR163" s="6"/>
      <c r="QS163" s="6"/>
      <c r="QT163" s="6"/>
      <c r="QU163" s="6"/>
      <c r="QV163" s="6"/>
      <c r="QW163" s="6"/>
      <c r="QX163" s="6"/>
      <c r="QY163" s="6"/>
      <c r="QZ163" s="6"/>
      <c r="RA163" s="6"/>
      <c r="RB163" s="6"/>
      <c r="RC163" s="6"/>
      <c r="RD163" s="6"/>
      <c r="RE163" s="6"/>
      <c r="RF163" s="6"/>
      <c r="RG163" s="6"/>
      <c r="RH163" s="6"/>
      <c r="RI163" s="6"/>
      <c r="RJ163" s="6"/>
      <c r="RK163" s="6"/>
      <c r="RL163" s="6"/>
      <c r="RM163" s="6"/>
      <c r="RN163" s="6"/>
      <c r="RO163" s="6"/>
      <c r="RP163" s="6"/>
      <c r="RQ163" s="6"/>
      <c r="RR163" s="6"/>
      <c r="RS163" s="6"/>
      <c r="RT163" s="6"/>
      <c r="RU163" s="6"/>
      <c r="RV163" s="6"/>
      <c r="RW163" s="6"/>
      <c r="RX163" s="6"/>
      <c r="RY163" s="6"/>
      <c r="RZ163" s="6"/>
      <c r="SA163" s="6"/>
      <c r="SB163" s="6"/>
      <c r="SC163" s="6"/>
      <c r="SD163" s="6"/>
      <c r="SE163" s="6"/>
      <c r="SF163" s="6"/>
      <c r="SG163" s="6"/>
      <c r="SH163" s="6"/>
      <c r="SI163" s="6"/>
      <c r="SJ163" s="6"/>
      <c r="SK163" s="6"/>
      <c r="SL163" s="6"/>
      <c r="SM163" s="6"/>
      <c r="SN163" s="6"/>
      <c r="SO163" s="6"/>
      <c r="SP163" s="6"/>
      <c r="SQ163" s="6"/>
      <c r="SR163" s="6"/>
      <c r="SS163" s="6"/>
      <c r="ST163" s="6"/>
      <c r="SU163" s="6"/>
      <c r="SV163" s="6"/>
      <c r="SW163" s="6"/>
      <c r="SX163" s="6"/>
      <c r="SY163" s="6"/>
      <c r="SZ163" s="6"/>
      <c r="TA163" s="6"/>
      <c r="TB163" s="6"/>
      <c r="TC163" s="6"/>
      <c r="TD163" s="6"/>
      <c r="TE163" s="6"/>
      <c r="TF163" s="6"/>
      <c r="TG163" s="6"/>
      <c r="TH163" s="6"/>
      <c r="TI163" s="6"/>
      <c r="TJ163" s="6"/>
      <c r="TK163" s="6"/>
      <c r="TL163" s="6"/>
      <c r="TM163" s="6"/>
      <c r="TN163" s="6"/>
      <c r="TO163" s="6"/>
      <c r="TP163" s="6"/>
      <c r="TQ163" s="6"/>
      <c r="TR163" s="6"/>
      <c r="TS163" s="6"/>
      <c r="TT163" s="6"/>
      <c r="TU163" s="6"/>
      <c r="TV163" s="6"/>
      <c r="TW163" s="6"/>
      <c r="TX163" s="6"/>
      <c r="TY163" s="6"/>
      <c r="TZ163" s="6"/>
      <c r="UA163" s="6"/>
      <c r="UB163" s="6"/>
      <c r="UC163" s="6"/>
      <c r="UD163" s="6"/>
      <c r="UE163" s="6"/>
      <c r="UF163" s="6"/>
      <c r="UG163" s="6"/>
      <c r="UH163" s="6"/>
      <c r="UI163" s="6"/>
      <c r="UJ163" s="6"/>
      <c r="UK163" s="6"/>
      <c r="UL163" s="6"/>
      <c r="UM163" s="6"/>
      <c r="UN163" s="6"/>
      <c r="UO163" s="6"/>
      <c r="UP163" s="6"/>
      <c r="UQ163" s="6"/>
      <c r="UR163" s="6"/>
      <c r="US163" s="6"/>
      <c r="UT163" s="6"/>
      <c r="UU163" s="6"/>
      <c r="UV163" s="6"/>
      <c r="UW163" s="6"/>
      <c r="UX163" s="6"/>
      <c r="UY163" s="6"/>
      <c r="UZ163" s="6"/>
      <c r="VA163" s="6"/>
      <c r="VB163" s="6"/>
      <c r="VC163" s="6"/>
      <c r="VD163" s="6"/>
      <c r="VE163" s="6"/>
      <c r="VF163" s="6"/>
      <c r="VG163" s="6"/>
      <c r="VH163" s="6"/>
      <c r="VI163" s="6"/>
      <c r="VJ163" s="6"/>
      <c r="VK163" s="6"/>
      <c r="VL163" s="6"/>
      <c r="VM163" s="6"/>
      <c r="VN163" s="6"/>
      <c r="VO163" s="6"/>
      <c r="VP163" s="6"/>
      <c r="VQ163" s="6"/>
      <c r="VR163" s="6"/>
      <c r="VS163" s="6"/>
      <c r="VT163" s="6"/>
      <c r="VU163" s="6"/>
      <c r="VV163" s="6"/>
      <c r="VW163" s="6"/>
      <c r="VX163" s="6"/>
      <c r="VY163" s="6"/>
      <c r="VZ163" s="6"/>
      <c r="WA163" s="6"/>
      <c r="WB163" s="6"/>
      <c r="WC163" s="6"/>
      <c r="WD163" s="6"/>
      <c r="WE163" s="6"/>
      <c r="WF163" s="6"/>
      <c r="WG163" s="6"/>
      <c r="WH163" s="6"/>
      <c r="WI163" s="6"/>
      <c r="WJ163" s="6"/>
      <c r="WK163" s="6"/>
      <c r="WL163" s="6"/>
      <c r="WM163" s="6"/>
      <c r="WN163" s="6"/>
      <c r="WO163" s="6"/>
      <c r="WP163" s="6"/>
      <c r="WQ163" s="6"/>
      <c r="WR163" s="6"/>
      <c r="WS163" s="6"/>
      <c r="WT163" s="6"/>
      <c r="WU163" s="6"/>
      <c r="WV163" s="6"/>
      <c r="WW163" s="6"/>
      <c r="WX163" s="6"/>
      <c r="WY163" s="6"/>
      <c r="WZ163" s="6"/>
      <c r="XA163" s="6"/>
      <c r="XB163" s="6"/>
      <c r="XC163" s="6"/>
      <c r="XD163" s="6"/>
      <c r="XE163" s="6"/>
      <c r="XF163" s="6"/>
      <c r="XG163" s="6"/>
      <c r="XH163" s="6"/>
      <c r="XI163" s="6"/>
      <c r="XJ163" s="6"/>
      <c r="XK163" s="6"/>
      <c r="XL163" s="6"/>
      <c r="XM163" s="6"/>
      <c r="XN163" s="6"/>
      <c r="XO163" s="6"/>
      <c r="XP163" s="6"/>
      <c r="XQ163" s="6"/>
      <c r="XR163" s="6"/>
      <c r="XS163" s="6"/>
      <c r="XT163" s="6"/>
      <c r="XU163" s="6"/>
      <c r="XV163" s="6"/>
      <c r="XW163" s="6"/>
      <c r="XX163" s="6"/>
      <c r="XY163" s="6"/>
      <c r="XZ163" s="6"/>
      <c r="YA163" s="6"/>
      <c r="YB163" s="6"/>
      <c r="YC163" s="6"/>
      <c r="YD163" s="6"/>
      <c r="YE163" s="6"/>
      <c r="YF163" s="6"/>
      <c r="YG163" s="6"/>
      <c r="YH163" s="6"/>
      <c r="YI163" s="6"/>
      <c r="YJ163" s="6"/>
      <c r="YK163" s="6"/>
      <c r="YL163" s="6"/>
      <c r="YM163" s="6"/>
      <c r="YN163" s="6"/>
      <c r="YO163" s="6"/>
      <c r="YP163" s="6"/>
      <c r="YQ163" s="6"/>
      <c r="YR163" s="6"/>
      <c r="YS163" s="6"/>
      <c r="YT163" s="6"/>
      <c r="YU163" s="6"/>
      <c r="YV163" s="6"/>
      <c r="YW163" s="6"/>
      <c r="YX163" s="6"/>
      <c r="YY163" s="6"/>
      <c r="YZ163" s="6"/>
      <c r="ZA163" s="6"/>
      <c r="ZB163" s="6"/>
      <c r="ZC163" s="6"/>
      <c r="ZD163" s="6"/>
      <c r="ZE163" s="6"/>
      <c r="ZF163" s="6"/>
      <c r="ZG163" s="6"/>
      <c r="ZH163" s="6"/>
      <c r="ZI163" s="6"/>
      <c r="ZJ163" s="6"/>
      <c r="ZK163" s="6"/>
      <c r="ZL163" s="6"/>
      <c r="ZM163" s="6"/>
      <c r="ZN163" s="6"/>
      <c r="ZO163" s="6"/>
      <c r="ZP163" s="6"/>
      <c r="ZQ163" s="6"/>
      <c r="ZR163" s="6"/>
      <c r="ZS163" s="6"/>
      <c r="ZT163" s="6"/>
      <c r="ZU163" s="6"/>
      <c r="ZV163" s="6"/>
      <c r="ZW163" s="6"/>
      <c r="ZX163" s="6"/>
      <c r="ZY163" s="6"/>
      <c r="ZZ163" s="6"/>
      <c r="AAA163" s="6"/>
      <c r="AAB163" s="6"/>
      <c r="AAC163" s="6"/>
      <c r="AAD163" s="6"/>
      <c r="AAE163" s="6"/>
      <c r="AAF163" s="6"/>
      <c r="AAG163" s="6"/>
      <c r="AAH163" s="6"/>
      <c r="AAI163" s="6"/>
      <c r="AAJ163" s="6"/>
      <c r="AAK163" s="6"/>
      <c r="AAL163" s="6"/>
      <c r="AAM163" s="6"/>
      <c r="AAN163" s="6"/>
      <c r="AAO163" s="6"/>
      <c r="AAP163" s="6"/>
      <c r="AAQ163" s="6"/>
      <c r="AAR163" s="6"/>
      <c r="AAS163" s="6"/>
      <c r="AAT163" s="6"/>
      <c r="AAU163" s="6"/>
      <c r="AAV163" s="6"/>
      <c r="AAW163" s="6"/>
      <c r="AAX163" s="6"/>
      <c r="AAY163" s="6"/>
      <c r="AAZ163" s="6"/>
      <c r="ABA163" s="6"/>
      <c r="ABB163" s="6"/>
      <c r="ABC163" s="6"/>
      <c r="ABD163" s="6"/>
      <c r="ABE163" s="6"/>
      <c r="ABF163" s="6"/>
      <c r="ABG163" s="6"/>
      <c r="ABH163" s="6"/>
      <c r="ABI163" s="6"/>
      <c r="ABJ163" s="6"/>
      <c r="ABK163" s="6"/>
      <c r="ABL163" s="6"/>
      <c r="ABM163" s="6"/>
      <c r="ABN163" s="6"/>
      <c r="ABO163" s="6"/>
      <c r="ABP163" s="6"/>
      <c r="ABQ163" s="6"/>
      <c r="ABR163" s="6"/>
      <c r="ABS163" s="6"/>
      <c r="ABT163" s="6"/>
      <c r="ABU163" s="6"/>
      <c r="ABV163" s="6"/>
      <c r="ABW163" s="6"/>
      <c r="ABX163" s="6"/>
      <c r="ABY163" s="6"/>
      <c r="ABZ163" s="6"/>
      <c r="ACA163" s="6"/>
      <c r="ACB163" s="6"/>
      <c r="ACC163" s="6"/>
      <c r="ACD163" s="6"/>
      <c r="ACE163" s="6"/>
      <c r="ACF163" s="6"/>
      <c r="ACG163" s="6"/>
      <c r="ACH163" s="6"/>
      <c r="ACI163" s="6"/>
      <c r="ACJ163" s="6"/>
      <c r="ACK163" s="6"/>
      <c r="ACL163" s="6"/>
      <c r="ACM163" s="6"/>
      <c r="ACN163" s="6"/>
      <c r="ACO163" s="6"/>
      <c r="ACP163" s="6"/>
      <c r="ACQ163" s="6"/>
      <c r="ACR163" s="6"/>
      <c r="ACS163" s="6"/>
      <c r="ACT163" s="6"/>
      <c r="ACU163" s="6"/>
      <c r="ACV163" s="6"/>
      <c r="ACW163" s="6"/>
      <c r="ACX163" s="6"/>
      <c r="ACY163" s="6"/>
      <c r="ACZ163" s="6"/>
      <c r="ADA163" s="6"/>
      <c r="ADB163" s="6"/>
      <c r="ADC163" s="6"/>
      <c r="ADD163" s="6"/>
      <c r="ADE163" s="6"/>
      <c r="ADF163" s="6"/>
      <c r="ADG163" s="6"/>
      <c r="ADH163" s="6"/>
      <c r="ADI163" s="6"/>
      <c r="ADJ163" s="6"/>
    </row>
    <row r="164" spans="1:790" s="291" customFormat="1" x14ac:dyDescent="0.3">
      <c r="A164" s="399"/>
      <c r="B164" s="571" t="s">
        <v>146</v>
      </c>
      <c r="C164" s="366"/>
      <c r="D164" s="367"/>
      <c r="E164" s="367"/>
      <c r="F164" s="362"/>
      <c r="G164" s="362"/>
      <c r="H164" s="362">
        <f>J148</f>
        <v>4226.4000000000005</v>
      </c>
      <c r="I164" s="369" t="s">
        <v>22</v>
      </c>
      <c r="J164" s="362"/>
      <c r="K164" s="363"/>
      <c r="L164" s="370"/>
      <c r="M164" s="490"/>
      <c r="N164" s="489" t="str">
        <f t="shared" si="138"/>
        <v/>
      </c>
      <c r="O164" s="308"/>
      <c r="Q164" s="497"/>
      <c r="R164" s="481"/>
      <c r="S164" s="514"/>
      <c r="T164" s="515" t="str">
        <f t="shared" si="143"/>
        <v/>
      </c>
      <c r="U164" s="482" t="str">
        <f t="shared" si="144"/>
        <v/>
      </c>
      <c r="V164" s="514"/>
      <c r="W164" s="515" t="str">
        <f t="shared" si="145"/>
        <v/>
      </c>
      <c r="X164" s="507"/>
      <c r="Y164" s="507"/>
      <c r="Z164" s="478"/>
      <c r="AA164" s="471"/>
      <c r="AB164" s="471"/>
      <c r="AC164" s="471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6"/>
      <c r="KZ164" s="6"/>
      <c r="LA164" s="6"/>
      <c r="LB164" s="6"/>
      <c r="LC164" s="6"/>
      <c r="LD164" s="6"/>
      <c r="LE164" s="6"/>
      <c r="LF164" s="6"/>
      <c r="LG164" s="6"/>
      <c r="LH164" s="6"/>
      <c r="LI164" s="6"/>
      <c r="LJ164" s="6"/>
      <c r="LK164" s="6"/>
      <c r="LL164" s="6"/>
      <c r="LM164" s="6"/>
      <c r="LN164" s="6"/>
      <c r="LO164" s="6"/>
      <c r="LP164" s="6"/>
      <c r="LQ164" s="6"/>
      <c r="LR164" s="6"/>
      <c r="LS164" s="6"/>
      <c r="LT164" s="6"/>
      <c r="LU164" s="6"/>
      <c r="LV164" s="6"/>
      <c r="LW164" s="6"/>
      <c r="LX164" s="6"/>
      <c r="LY164" s="6"/>
      <c r="LZ164" s="6"/>
      <c r="MA164" s="6"/>
      <c r="MB164" s="6"/>
      <c r="MC164" s="6"/>
      <c r="MD164" s="6"/>
      <c r="ME164" s="6"/>
      <c r="MF164" s="6"/>
      <c r="MG164" s="6"/>
      <c r="MH164" s="6"/>
      <c r="MI164" s="6"/>
      <c r="MJ164" s="6"/>
      <c r="MK164" s="6"/>
      <c r="ML164" s="6"/>
      <c r="MM164" s="6"/>
      <c r="MN164" s="6"/>
      <c r="MO164" s="6"/>
      <c r="MP164" s="6"/>
      <c r="MQ164" s="6"/>
      <c r="MR164" s="6"/>
      <c r="MS164" s="6"/>
      <c r="MT164" s="6"/>
      <c r="MU164" s="6"/>
      <c r="MV164" s="6"/>
      <c r="MW164" s="6"/>
      <c r="MX164" s="6"/>
      <c r="MY164" s="6"/>
      <c r="MZ164" s="6"/>
      <c r="NA164" s="6"/>
      <c r="NB164" s="6"/>
      <c r="NC164" s="6"/>
      <c r="ND164" s="6"/>
      <c r="NE164" s="6"/>
      <c r="NF164" s="6"/>
      <c r="NG164" s="6"/>
      <c r="NH164" s="6"/>
      <c r="NI164" s="6"/>
      <c r="NJ164" s="6"/>
      <c r="NK164" s="6"/>
      <c r="NL164" s="6"/>
      <c r="NM164" s="6"/>
      <c r="NN164" s="6"/>
      <c r="NO164" s="6"/>
      <c r="NP164" s="6"/>
      <c r="NQ164" s="6"/>
      <c r="NR164" s="6"/>
      <c r="NS164" s="6"/>
      <c r="NT164" s="6"/>
      <c r="NU164" s="6"/>
      <c r="NV164" s="6"/>
      <c r="NW164" s="6"/>
      <c r="NX164" s="6"/>
      <c r="NY164" s="6"/>
      <c r="NZ164" s="6"/>
      <c r="OA164" s="6"/>
      <c r="OB164" s="6"/>
      <c r="OC164" s="6"/>
      <c r="OD164" s="6"/>
      <c r="OE164" s="6"/>
      <c r="OF164" s="6"/>
      <c r="OG164" s="6"/>
      <c r="OH164" s="6"/>
      <c r="OI164" s="6"/>
      <c r="OJ164" s="6"/>
      <c r="OK164" s="6"/>
      <c r="OL164" s="6"/>
      <c r="OM164" s="6"/>
      <c r="ON164" s="6"/>
      <c r="OO164" s="6"/>
      <c r="OP164" s="6"/>
      <c r="OQ164" s="6"/>
      <c r="OR164" s="6"/>
      <c r="OS164" s="6"/>
      <c r="OT164" s="6"/>
      <c r="OU164" s="6"/>
      <c r="OV164" s="6"/>
      <c r="OW164" s="6"/>
      <c r="OX164" s="6"/>
      <c r="OY164" s="6"/>
      <c r="OZ164" s="6"/>
      <c r="PA164" s="6"/>
      <c r="PB164" s="6"/>
      <c r="PC164" s="6"/>
      <c r="PD164" s="6"/>
      <c r="PE164" s="6"/>
      <c r="PF164" s="6"/>
      <c r="PG164" s="6"/>
      <c r="PH164" s="6"/>
      <c r="PI164" s="6"/>
      <c r="PJ164" s="6"/>
      <c r="PK164" s="6"/>
      <c r="PL164" s="6"/>
      <c r="PM164" s="6"/>
      <c r="PN164" s="6"/>
      <c r="PO164" s="6"/>
      <c r="PP164" s="6"/>
      <c r="PQ164" s="6"/>
      <c r="PR164" s="6"/>
      <c r="PS164" s="6"/>
      <c r="PT164" s="6"/>
      <c r="PU164" s="6"/>
      <c r="PV164" s="6"/>
      <c r="PW164" s="6"/>
      <c r="PX164" s="6"/>
      <c r="PY164" s="6"/>
      <c r="PZ164" s="6"/>
      <c r="QA164" s="6"/>
      <c r="QB164" s="6"/>
      <c r="QC164" s="6"/>
      <c r="QD164" s="6"/>
      <c r="QE164" s="6"/>
      <c r="QF164" s="6"/>
      <c r="QG164" s="6"/>
      <c r="QH164" s="6"/>
      <c r="QI164" s="6"/>
      <c r="QJ164" s="6"/>
      <c r="QK164" s="6"/>
      <c r="QL164" s="6"/>
      <c r="QM164" s="6"/>
      <c r="QN164" s="6"/>
      <c r="QO164" s="6"/>
      <c r="QP164" s="6"/>
      <c r="QQ164" s="6"/>
      <c r="QR164" s="6"/>
      <c r="QS164" s="6"/>
      <c r="QT164" s="6"/>
      <c r="QU164" s="6"/>
      <c r="QV164" s="6"/>
      <c r="QW164" s="6"/>
      <c r="QX164" s="6"/>
      <c r="QY164" s="6"/>
      <c r="QZ164" s="6"/>
      <c r="RA164" s="6"/>
      <c r="RB164" s="6"/>
      <c r="RC164" s="6"/>
      <c r="RD164" s="6"/>
      <c r="RE164" s="6"/>
      <c r="RF164" s="6"/>
      <c r="RG164" s="6"/>
      <c r="RH164" s="6"/>
      <c r="RI164" s="6"/>
      <c r="RJ164" s="6"/>
      <c r="RK164" s="6"/>
      <c r="RL164" s="6"/>
      <c r="RM164" s="6"/>
      <c r="RN164" s="6"/>
      <c r="RO164" s="6"/>
      <c r="RP164" s="6"/>
      <c r="RQ164" s="6"/>
      <c r="RR164" s="6"/>
      <c r="RS164" s="6"/>
      <c r="RT164" s="6"/>
      <c r="RU164" s="6"/>
      <c r="RV164" s="6"/>
      <c r="RW164" s="6"/>
      <c r="RX164" s="6"/>
      <c r="RY164" s="6"/>
      <c r="RZ164" s="6"/>
      <c r="SA164" s="6"/>
      <c r="SB164" s="6"/>
      <c r="SC164" s="6"/>
      <c r="SD164" s="6"/>
      <c r="SE164" s="6"/>
      <c r="SF164" s="6"/>
      <c r="SG164" s="6"/>
      <c r="SH164" s="6"/>
      <c r="SI164" s="6"/>
      <c r="SJ164" s="6"/>
      <c r="SK164" s="6"/>
      <c r="SL164" s="6"/>
      <c r="SM164" s="6"/>
      <c r="SN164" s="6"/>
      <c r="SO164" s="6"/>
      <c r="SP164" s="6"/>
      <c r="SQ164" s="6"/>
      <c r="SR164" s="6"/>
      <c r="SS164" s="6"/>
      <c r="ST164" s="6"/>
      <c r="SU164" s="6"/>
      <c r="SV164" s="6"/>
      <c r="SW164" s="6"/>
      <c r="SX164" s="6"/>
      <c r="SY164" s="6"/>
      <c r="SZ164" s="6"/>
      <c r="TA164" s="6"/>
      <c r="TB164" s="6"/>
      <c r="TC164" s="6"/>
      <c r="TD164" s="6"/>
      <c r="TE164" s="6"/>
      <c r="TF164" s="6"/>
      <c r="TG164" s="6"/>
      <c r="TH164" s="6"/>
      <c r="TI164" s="6"/>
      <c r="TJ164" s="6"/>
      <c r="TK164" s="6"/>
      <c r="TL164" s="6"/>
      <c r="TM164" s="6"/>
      <c r="TN164" s="6"/>
      <c r="TO164" s="6"/>
      <c r="TP164" s="6"/>
      <c r="TQ164" s="6"/>
      <c r="TR164" s="6"/>
      <c r="TS164" s="6"/>
      <c r="TT164" s="6"/>
      <c r="TU164" s="6"/>
      <c r="TV164" s="6"/>
      <c r="TW164" s="6"/>
      <c r="TX164" s="6"/>
      <c r="TY164" s="6"/>
      <c r="TZ164" s="6"/>
      <c r="UA164" s="6"/>
      <c r="UB164" s="6"/>
      <c r="UC164" s="6"/>
      <c r="UD164" s="6"/>
      <c r="UE164" s="6"/>
      <c r="UF164" s="6"/>
      <c r="UG164" s="6"/>
      <c r="UH164" s="6"/>
      <c r="UI164" s="6"/>
      <c r="UJ164" s="6"/>
      <c r="UK164" s="6"/>
      <c r="UL164" s="6"/>
      <c r="UM164" s="6"/>
      <c r="UN164" s="6"/>
      <c r="UO164" s="6"/>
      <c r="UP164" s="6"/>
      <c r="UQ164" s="6"/>
      <c r="UR164" s="6"/>
      <c r="US164" s="6"/>
      <c r="UT164" s="6"/>
      <c r="UU164" s="6"/>
      <c r="UV164" s="6"/>
      <c r="UW164" s="6"/>
      <c r="UX164" s="6"/>
      <c r="UY164" s="6"/>
      <c r="UZ164" s="6"/>
      <c r="VA164" s="6"/>
      <c r="VB164" s="6"/>
      <c r="VC164" s="6"/>
      <c r="VD164" s="6"/>
      <c r="VE164" s="6"/>
      <c r="VF164" s="6"/>
      <c r="VG164" s="6"/>
      <c r="VH164" s="6"/>
      <c r="VI164" s="6"/>
      <c r="VJ164" s="6"/>
      <c r="VK164" s="6"/>
      <c r="VL164" s="6"/>
      <c r="VM164" s="6"/>
      <c r="VN164" s="6"/>
      <c r="VO164" s="6"/>
      <c r="VP164" s="6"/>
      <c r="VQ164" s="6"/>
      <c r="VR164" s="6"/>
      <c r="VS164" s="6"/>
      <c r="VT164" s="6"/>
      <c r="VU164" s="6"/>
      <c r="VV164" s="6"/>
      <c r="VW164" s="6"/>
      <c r="VX164" s="6"/>
      <c r="VY164" s="6"/>
      <c r="VZ164" s="6"/>
      <c r="WA164" s="6"/>
      <c r="WB164" s="6"/>
      <c r="WC164" s="6"/>
      <c r="WD164" s="6"/>
      <c r="WE164" s="6"/>
      <c r="WF164" s="6"/>
      <c r="WG164" s="6"/>
      <c r="WH164" s="6"/>
      <c r="WI164" s="6"/>
      <c r="WJ164" s="6"/>
      <c r="WK164" s="6"/>
      <c r="WL164" s="6"/>
      <c r="WM164" s="6"/>
      <c r="WN164" s="6"/>
      <c r="WO164" s="6"/>
      <c r="WP164" s="6"/>
      <c r="WQ164" s="6"/>
      <c r="WR164" s="6"/>
      <c r="WS164" s="6"/>
      <c r="WT164" s="6"/>
      <c r="WU164" s="6"/>
      <c r="WV164" s="6"/>
      <c r="WW164" s="6"/>
      <c r="WX164" s="6"/>
      <c r="WY164" s="6"/>
      <c r="WZ164" s="6"/>
      <c r="XA164" s="6"/>
      <c r="XB164" s="6"/>
      <c r="XC164" s="6"/>
      <c r="XD164" s="6"/>
      <c r="XE164" s="6"/>
      <c r="XF164" s="6"/>
      <c r="XG164" s="6"/>
      <c r="XH164" s="6"/>
      <c r="XI164" s="6"/>
      <c r="XJ164" s="6"/>
      <c r="XK164" s="6"/>
      <c r="XL164" s="6"/>
      <c r="XM164" s="6"/>
      <c r="XN164" s="6"/>
      <c r="XO164" s="6"/>
      <c r="XP164" s="6"/>
      <c r="XQ164" s="6"/>
      <c r="XR164" s="6"/>
      <c r="XS164" s="6"/>
      <c r="XT164" s="6"/>
      <c r="XU164" s="6"/>
      <c r="XV164" s="6"/>
      <c r="XW164" s="6"/>
      <c r="XX164" s="6"/>
      <c r="XY164" s="6"/>
      <c r="XZ164" s="6"/>
      <c r="YA164" s="6"/>
      <c r="YB164" s="6"/>
      <c r="YC164" s="6"/>
      <c r="YD164" s="6"/>
      <c r="YE164" s="6"/>
      <c r="YF164" s="6"/>
      <c r="YG164" s="6"/>
      <c r="YH164" s="6"/>
      <c r="YI164" s="6"/>
      <c r="YJ164" s="6"/>
      <c r="YK164" s="6"/>
      <c r="YL164" s="6"/>
      <c r="YM164" s="6"/>
      <c r="YN164" s="6"/>
      <c r="YO164" s="6"/>
      <c r="YP164" s="6"/>
      <c r="YQ164" s="6"/>
      <c r="YR164" s="6"/>
      <c r="YS164" s="6"/>
      <c r="YT164" s="6"/>
      <c r="YU164" s="6"/>
      <c r="YV164" s="6"/>
      <c r="YW164" s="6"/>
      <c r="YX164" s="6"/>
      <c r="YY164" s="6"/>
      <c r="YZ164" s="6"/>
      <c r="ZA164" s="6"/>
      <c r="ZB164" s="6"/>
      <c r="ZC164" s="6"/>
      <c r="ZD164" s="6"/>
      <c r="ZE164" s="6"/>
      <c r="ZF164" s="6"/>
      <c r="ZG164" s="6"/>
      <c r="ZH164" s="6"/>
      <c r="ZI164" s="6"/>
      <c r="ZJ164" s="6"/>
      <c r="ZK164" s="6"/>
      <c r="ZL164" s="6"/>
      <c r="ZM164" s="6"/>
      <c r="ZN164" s="6"/>
      <c r="ZO164" s="6"/>
      <c r="ZP164" s="6"/>
      <c r="ZQ164" s="6"/>
      <c r="ZR164" s="6"/>
      <c r="ZS164" s="6"/>
      <c r="ZT164" s="6"/>
      <c r="ZU164" s="6"/>
      <c r="ZV164" s="6"/>
      <c r="ZW164" s="6"/>
      <c r="ZX164" s="6"/>
      <c r="ZY164" s="6"/>
      <c r="ZZ164" s="6"/>
      <c r="AAA164" s="6"/>
      <c r="AAB164" s="6"/>
      <c r="AAC164" s="6"/>
      <c r="AAD164" s="6"/>
      <c r="AAE164" s="6"/>
      <c r="AAF164" s="6"/>
      <c r="AAG164" s="6"/>
      <c r="AAH164" s="6"/>
      <c r="AAI164" s="6"/>
      <c r="AAJ164" s="6"/>
      <c r="AAK164" s="6"/>
      <c r="AAL164" s="6"/>
      <c r="AAM164" s="6"/>
      <c r="AAN164" s="6"/>
      <c r="AAO164" s="6"/>
      <c r="AAP164" s="6"/>
      <c r="AAQ164" s="6"/>
      <c r="AAR164" s="6"/>
      <c r="AAS164" s="6"/>
      <c r="AAT164" s="6"/>
      <c r="AAU164" s="6"/>
      <c r="AAV164" s="6"/>
      <c r="AAW164" s="6"/>
      <c r="AAX164" s="6"/>
      <c r="AAY164" s="6"/>
      <c r="AAZ164" s="6"/>
      <c r="ABA164" s="6"/>
      <c r="ABB164" s="6"/>
      <c r="ABC164" s="6"/>
      <c r="ABD164" s="6"/>
      <c r="ABE164" s="6"/>
      <c r="ABF164" s="6"/>
      <c r="ABG164" s="6"/>
      <c r="ABH164" s="6"/>
      <c r="ABI164" s="6"/>
      <c r="ABJ164" s="6"/>
      <c r="ABK164" s="6"/>
      <c r="ABL164" s="6"/>
      <c r="ABM164" s="6"/>
      <c r="ABN164" s="6"/>
      <c r="ABO164" s="6"/>
      <c r="ABP164" s="6"/>
      <c r="ABQ164" s="6"/>
      <c r="ABR164" s="6"/>
      <c r="ABS164" s="6"/>
      <c r="ABT164" s="6"/>
      <c r="ABU164" s="6"/>
      <c r="ABV164" s="6"/>
      <c r="ABW164" s="6"/>
      <c r="ABX164" s="6"/>
      <c r="ABY164" s="6"/>
      <c r="ABZ164" s="6"/>
      <c r="ACA164" s="6"/>
      <c r="ACB164" s="6"/>
      <c r="ACC164" s="6"/>
      <c r="ACD164" s="6"/>
      <c r="ACE164" s="6"/>
      <c r="ACF164" s="6"/>
      <c r="ACG164" s="6"/>
      <c r="ACH164" s="6"/>
      <c r="ACI164" s="6"/>
      <c r="ACJ164" s="6"/>
      <c r="ACK164" s="6"/>
      <c r="ACL164" s="6"/>
      <c r="ACM164" s="6"/>
      <c r="ACN164" s="6"/>
      <c r="ACO164" s="6"/>
      <c r="ACP164" s="6"/>
      <c r="ACQ164" s="6"/>
      <c r="ACR164" s="6"/>
      <c r="ACS164" s="6"/>
      <c r="ACT164" s="6"/>
      <c r="ACU164" s="6"/>
      <c r="ACV164" s="6"/>
      <c r="ACW164" s="6"/>
      <c r="ACX164" s="6"/>
      <c r="ACY164" s="6"/>
      <c r="ACZ164" s="6"/>
      <c r="ADA164" s="6"/>
      <c r="ADB164" s="6"/>
      <c r="ADC164" s="6"/>
      <c r="ADD164" s="6"/>
      <c r="ADE164" s="6"/>
      <c r="ADF164" s="6"/>
      <c r="ADG164" s="6"/>
      <c r="ADH164" s="6"/>
      <c r="ADI164" s="6"/>
      <c r="ADJ164" s="6"/>
    </row>
    <row r="165" spans="1:790" s="291" customFormat="1" x14ac:dyDescent="0.3">
      <c r="A165" s="399"/>
      <c r="B165" s="574" t="s">
        <v>148</v>
      </c>
      <c r="C165" s="434"/>
      <c r="D165" s="435"/>
      <c r="E165" s="435"/>
      <c r="F165" s="436"/>
      <c r="G165" s="436"/>
      <c r="H165" s="436">
        <f>-J151</f>
        <v>-74.2</v>
      </c>
      <c r="I165" s="437" t="s">
        <v>22</v>
      </c>
      <c r="J165" s="362"/>
      <c r="K165" s="363"/>
      <c r="L165" s="370"/>
      <c r="M165" s="490"/>
      <c r="N165" s="489" t="str">
        <f t="shared" si="138"/>
        <v/>
      </c>
      <c r="O165" s="308"/>
      <c r="Q165" s="497"/>
      <c r="R165" s="481"/>
      <c r="S165" s="514"/>
      <c r="T165" s="515" t="str">
        <f t="shared" si="143"/>
        <v/>
      </c>
      <c r="U165" s="482" t="str">
        <f t="shared" si="144"/>
        <v/>
      </c>
      <c r="V165" s="514"/>
      <c r="W165" s="515" t="str">
        <f t="shared" si="145"/>
        <v/>
      </c>
      <c r="X165" s="507"/>
      <c r="Y165" s="507"/>
      <c r="Z165" s="478"/>
      <c r="AA165" s="471"/>
      <c r="AB165" s="471"/>
      <c r="AC165" s="471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6"/>
      <c r="KZ165" s="6"/>
      <c r="LA165" s="6"/>
      <c r="LB165" s="6"/>
      <c r="LC165" s="6"/>
      <c r="LD165" s="6"/>
      <c r="LE165" s="6"/>
      <c r="LF165" s="6"/>
      <c r="LG165" s="6"/>
      <c r="LH165" s="6"/>
      <c r="LI165" s="6"/>
      <c r="LJ165" s="6"/>
      <c r="LK165" s="6"/>
      <c r="LL165" s="6"/>
      <c r="LM165" s="6"/>
      <c r="LN165" s="6"/>
      <c r="LO165" s="6"/>
      <c r="LP165" s="6"/>
      <c r="LQ165" s="6"/>
      <c r="LR165" s="6"/>
      <c r="LS165" s="6"/>
      <c r="LT165" s="6"/>
      <c r="LU165" s="6"/>
      <c r="LV165" s="6"/>
      <c r="LW165" s="6"/>
      <c r="LX165" s="6"/>
      <c r="LY165" s="6"/>
      <c r="LZ165" s="6"/>
      <c r="MA165" s="6"/>
      <c r="MB165" s="6"/>
      <c r="MC165" s="6"/>
      <c r="MD165" s="6"/>
      <c r="ME165" s="6"/>
      <c r="MF165" s="6"/>
      <c r="MG165" s="6"/>
      <c r="MH165" s="6"/>
      <c r="MI165" s="6"/>
      <c r="MJ165" s="6"/>
      <c r="MK165" s="6"/>
      <c r="ML165" s="6"/>
      <c r="MM165" s="6"/>
      <c r="MN165" s="6"/>
      <c r="MO165" s="6"/>
      <c r="MP165" s="6"/>
      <c r="MQ165" s="6"/>
      <c r="MR165" s="6"/>
      <c r="MS165" s="6"/>
      <c r="MT165" s="6"/>
      <c r="MU165" s="6"/>
      <c r="MV165" s="6"/>
      <c r="MW165" s="6"/>
      <c r="MX165" s="6"/>
      <c r="MY165" s="6"/>
      <c r="MZ165" s="6"/>
      <c r="NA165" s="6"/>
      <c r="NB165" s="6"/>
      <c r="NC165" s="6"/>
      <c r="ND165" s="6"/>
      <c r="NE165" s="6"/>
      <c r="NF165" s="6"/>
      <c r="NG165" s="6"/>
      <c r="NH165" s="6"/>
      <c r="NI165" s="6"/>
      <c r="NJ165" s="6"/>
      <c r="NK165" s="6"/>
      <c r="NL165" s="6"/>
      <c r="NM165" s="6"/>
      <c r="NN165" s="6"/>
      <c r="NO165" s="6"/>
      <c r="NP165" s="6"/>
      <c r="NQ165" s="6"/>
      <c r="NR165" s="6"/>
      <c r="NS165" s="6"/>
      <c r="NT165" s="6"/>
      <c r="NU165" s="6"/>
      <c r="NV165" s="6"/>
      <c r="NW165" s="6"/>
      <c r="NX165" s="6"/>
      <c r="NY165" s="6"/>
      <c r="NZ165" s="6"/>
      <c r="OA165" s="6"/>
      <c r="OB165" s="6"/>
      <c r="OC165" s="6"/>
      <c r="OD165" s="6"/>
      <c r="OE165" s="6"/>
      <c r="OF165" s="6"/>
      <c r="OG165" s="6"/>
      <c r="OH165" s="6"/>
      <c r="OI165" s="6"/>
      <c r="OJ165" s="6"/>
      <c r="OK165" s="6"/>
      <c r="OL165" s="6"/>
      <c r="OM165" s="6"/>
      <c r="ON165" s="6"/>
      <c r="OO165" s="6"/>
      <c r="OP165" s="6"/>
      <c r="OQ165" s="6"/>
      <c r="OR165" s="6"/>
      <c r="OS165" s="6"/>
      <c r="OT165" s="6"/>
      <c r="OU165" s="6"/>
      <c r="OV165" s="6"/>
      <c r="OW165" s="6"/>
      <c r="OX165" s="6"/>
      <c r="OY165" s="6"/>
      <c r="OZ165" s="6"/>
      <c r="PA165" s="6"/>
      <c r="PB165" s="6"/>
      <c r="PC165" s="6"/>
      <c r="PD165" s="6"/>
      <c r="PE165" s="6"/>
      <c r="PF165" s="6"/>
      <c r="PG165" s="6"/>
      <c r="PH165" s="6"/>
      <c r="PI165" s="6"/>
      <c r="PJ165" s="6"/>
      <c r="PK165" s="6"/>
      <c r="PL165" s="6"/>
      <c r="PM165" s="6"/>
      <c r="PN165" s="6"/>
      <c r="PO165" s="6"/>
      <c r="PP165" s="6"/>
      <c r="PQ165" s="6"/>
      <c r="PR165" s="6"/>
      <c r="PS165" s="6"/>
      <c r="PT165" s="6"/>
      <c r="PU165" s="6"/>
      <c r="PV165" s="6"/>
      <c r="PW165" s="6"/>
      <c r="PX165" s="6"/>
      <c r="PY165" s="6"/>
      <c r="PZ165" s="6"/>
      <c r="QA165" s="6"/>
      <c r="QB165" s="6"/>
      <c r="QC165" s="6"/>
      <c r="QD165" s="6"/>
      <c r="QE165" s="6"/>
      <c r="QF165" s="6"/>
      <c r="QG165" s="6"/>
      <c r="QH165" s="6"/>
      <c r="QI165" s="6"/>
      <c r="QJ165" s="6"/>
      <c r="QK165" s="6"/>
      <c r="QL165" s="6"/>
      <c r="QM165" s="6"/>
      <c r="QN165" s="6"/>
      <c r="QO165" s="6"/>
      <c r="QP165" s="6"/>
      <c r="QQ165" s="6"/>
      <c r="QR165" s="6"/>
      <c r="QS165" s="6"/>
      <c r="QT165" s="6"/>
      <c r="QU165" s="6"/>
      <c r="QV165" s="6"/>
      <c r="QW165" s="6"/>
      <c r="QX165" s="6"/>
      <c r="QY165" s="6"/>
      <c r="QZ165" s="6"/>
      <c r="RA165" s="6"/>
      <c r="RB165" s="6"/>
      <c r="RC165" s="6"/>
      <c r="RD165" s="6"/>
      <c r="RE165" s="6"/>
      <c r="RF165" s="6"/>
      <c r="RG165" s="6"/>
      <c r="RH165" s="6"/>
      <c r="RI165" s="6"/>
      <c r="RJ165" s="6"/>
      <c r="RK165" s="6"/>
      <c r="RL165" s="6"/>
      <c r="RM165" s="6"/>
      <c r="RN165" s="6"/>
      <c r="RO165" s="6"/>
      <c r="RP165" s="6"/>
      <c r="RQ165" s="6"/>
      <c r="RR165" s="6"/>
      <c r="RS165" s="6"/>
      <c r="RT165" s="6"/>
      <c r="RU165" s="6"/>
      <c r="RV165" s="6"/>
      <c r="RW165" s="6"/>
      <c r="RX165" s="6"/>
      <c r="RY165" s="6"/>
      <c r="RZ165" s="6"/>
      <c r="SA165" s="6"/>
      <c r="SB165" s="6"/>
      <c r="SC165" s="6"/>
      <c r="SD165" s="6"/>
      <c r="SE165" s="6"/>
      <c r="SF165" s="6"/>
      <c r="SG165" s="6"/>
      <c r="SH165" s="6"/>
      <c r="SI165" s="6"/>
      <c r="SJ165" s="6"/>
      <c r="SK165" s="6"/>
      <c r="SL165" s="6"/>
      <c r="SM165" s="6"/>
      <c r="SN165" s="6"/>
      <c r="SO165" s="6"/>
      <c r="SP165" s="6"/>
      <c r="SQ165" s="6"/>
      <c r="SR165" s="6"/>
      <c r="SS165" s="6"/>
      <c r="ST165" s="6"/>
      <c r="SU165" s="6"/>
      <c r="SV165" s="6"/>
      <c r="SW165" s="6"/>
      <c r="SX165" s="6"/>
      <c r="SY165" s="6"/>
      <c r="SZ165" s="6"/>
      <c r="TA165" s="6"/>
      <c r="TB165" s="6"/>
      <c r="TC165" s="6"/>
      <c r="TD165" s="6"/>
      <c r="TE165" s="6"/>
      <c r="TF165" s="6"/>
      <c r="TG165" s="6"/>
      <c r="TH165" s="6"/>
      <c r="TI165" s="6"/>
      <c r="TJ165" s="6"/>
      <c r="TK165" s="6"/>
      <c r="TL165" s="6"/>
      <c r="TM165" s="6"/>
      <c r="TN165" s="6"/>
      <c r="TO165" s="6"/>
      <c r="TP165" s="6"/>
      <c r="TQ165" s="6"/>
      <c r="TR165" s="6"/>
      <c r="TS165" s="6"/>
      <c r="TT165" s="6"/>
      <c r="TU165" s="6"/>
      <c r="TV165" s="6"/>
      <c r="TW165" s="6"/>
      <c r="TX165" s="6"/>
      <c r="TY165" s="6"/>
      <c r="TZ165" s="6"/>
      <c r="UA165" s="6"/>
      <c r="UB165" s="6"/>
      <c r="UC165" s="6"/>
      <c r="UD165" s="6"/>
      <c r="UE165" s="6"/>
      <c r="UF165" s="6"/>
      <c r="UG165" s="6"/>
      <c r="UH165" s="6"/>
      <c r="UI165" s="6"/>
      <c r="UJ165" s="6"/>
      <c r="UK165" s="6"/>
      <c r="UL165" s="6"/>
      <c r="UM165" s="6"/>
      <c r="UN165" s="6"/>
      <c r="UO165" s="6"/>
      <c r="UP165" s="6"/>
      <c r="UQ165" s="6"/>
      <c r="UR165" s="6"/>
      <c r="US165" s="6"/>
      <c r="UT165" s="6"/>
      <c r="UU165" s="6"/>
      <c r="UV165" s="6"/>
      <c r="UW165" s="6"/>
      <c r="UX165" s="6"/>
      <c r="UY165" s="6"/>
      <c r="UZ165" s="6"/>
      <c r="VA165" s="6"/>
      <c r="VB165" s="6"/>
      <c r="VC165" s="6"/>
      <c r="VD165" s="6"/>
      <c r="VE165" s="6"/>
      <c r="VF165" s="6"/>
      <c r="VG165" s="6"/>
      <c r="VH165" s="6"/>
      <c r="VI165" s="6"/>
      <c r="VJ165" s="6"/>
      <c r="VK165" s="6"/>
      <c r="VL165" s="6"/>
      <c r="VM165" s="6"/>
      <c r="VN165" s="6"/>
      <c r="VO165" s="6"/>
      <c r="VP165" s="6"/>
      <c r="VQ165" s="6"/>
      <c r="VR165" s="6"/>
      <c r="VS165" s="6"/>
      <c r="VT165" s="6"/>
      <c r="VU165" s="6"/>
      <c r="VV165" s="6"/>
      <c r="VW165" s="6"/>
      <c r="VX165" s="6"/>
      <c r="VY165" s="6"/>
      <c r="VZ165" s="6"/>
      <c r="WA165" s="6"/>
      <c r="WB165" s="6"/>
      <c r="WC165" s="6"/>
      <c r="WD165" s="6"/>
      <c r="WE165" s="6"/>
      <c r="WF165" s="6"/>
      <c r="WG165" s="6"/>
      <c r="WH165" s="6"/>
      <c r="WI165" s="6"/>
      <c r="WJ165" s="6"/>
      <c r="WK165" s="6"/>
      <c r="WL165" s="6"/>
      <c r="WM165" s="6"/>
      <c r="WN165" s="6"/>
      <c r="WO165" s="6"/>
      <c r="WP165" s="6"/>
      <c r="WQ165" s="6"/>
      <c r="WR165" s="6"/>
      <c r="WS165" s="6"/>
      <c r="WT165" s="6"/>
      <c r="WU165" s="6"/>
      <c r="WV165" s="6"/>
      <c r="WW165" s="6"/>
      <c r="WX165" s="6"/>
      <c r="WY165" s="6"/>
      <c r="WZ165" s="6"/>
      <c r="XA165" s="6"/>
      <c r="XB165" s="6"/>
      <c r="XC165" s="6"/>
      <c r="XD165" s="6"/>
      <c r="XE165" s="6"/>
      <c r="XF165" s="6"/>
      <c r="XG165" s="6"/>
      <c r="XH165" s="6"/>
      <c r="XI165" s="6"/>
      <c r="XJ165" s="6"/>
      <c r="XK165" s="6"/>
      <c r="XL165" s="6"/>
      <c r="XM165" s="6"/>
      <c r="XN165" s="6"/>
      <c r="XO165" s="6"/>
      <c r="XP165" s="6"/>
      <c r="XQ165" s="6"/>
      <c r="XR165" s="6"/>
      <c r="XS165" s="6"/>
      <c r="XT165" s="6"/>
      <c r="XU165" s="6"/>
      <c r="XV165" s="6"/>
      <c r="XW165" s="6"/>
      <c r="XX165" s="6"/>
      <c r="XY165" s="6"/>
      <c r="XZ165" s="6"/>
      <c r="YA165" s="6"/>
      <c r="YB165" s="6"/>
      <c r="YC165" s="6"/>
      <c r="YD165" s="6"/>
      <c r="YE165" s="6"/>
      <c r="YF165" s="6"/>
      <c r="YG165" s="6"/>
      <c r="YH165" s="6"/>
      <c r="YI165" s="6"/>
      <c r="YJ165" s="6"/>
      <c r="YK165" s="6"/>
      <c r="YL165" s="6"/>
      <c r="YM165" s="6"/>
      <c r="YN165" s="6"/>
      <c r="YO165" s="6"/>
      <c r="YP165" s="6"/>
      <c r="YQ165" s="6"/>
      <c r="YR165" s="6"/>
      <c r="YS165" s="6"/>
      <c r="YT165" s="6"/>
      <c r="YU165" s="6"/>
      <c r="YV165" s="6"/>
      <c r="YW165" s="6"/>
      <c r="YX165" s="6"/>
      <c r="YY165" s="6"/>
      <c r="YZ165" s="6"/>
      <c r="ZA165" s="6"/>
      <c r="ZB165" s="6"/>
      <c r="ZC165" s="6"/>
      <c r="ZD165" s="6"/>
      <c r="ZE165" s="6"/>
      <c r="ZF165" s="6"/>
      <c r="ZG165" s="6"/>
      <c r="ZH165" s="6"/>
      <c r="ZI165" s="6"/>
      <c r="ZJ165" s="6"/>
      <c r="ZK165" s="6"/>
      <c r="ZL165" s="6"/>
      <c r="ZM165" s="6"/>
      <c r="ZN165" s="6"/>
      <c r="ZO165" s="6"/>
      <c r="ZP165" s="6"/>
      <c r="ZQ165" s="6"/>
      <c r="ZR165" s="6"/>
      <c r="ZS165" s="6"/>
      <c r="ZT165" s="6"/>
      <c r="ZU165" s="6"/>
      <c r="ZV165" s="6"/>
      <c r="ZW165" s="6"/>
      <c r="ZX165" s="6"/>
      <c r="ZY165" s="6"/>
      <c r="ZZ165" s="6"/>
      <c r="AAA165" s="6"/>
      <c r="AAB165" s="6"/>
      <c r="AAC165" s="6"/>
      <c r="AAD165" s="6"/>
      <c r="AAE165" s="6"/>
      <c r="AAF165" s="6"/>
      <c r="AAG165" s="6"/>
      <c r="AAH165" s="6"/>
      <c r="AAI165" s="6"/>
      <c r="AAJ165" s="6"/>
      <c r="AAK165" s="6"/>
      <c r="AAL165" s="6"/>
      <c r="AAM165" s="6"/>
      <c r="AAN165" s="6"/>
      <c r="AAO165" s="6"/>
      <c r="AAP165" s="6"/>
      <c r="AAQ165" s="6"/>
      <c r="AAR165" s="6"/>
      <c r="AAS165" s="6"/>
      <c r="AAT165" s="6"/>
      <c r="AAU165" s="6"/>
      <c r="AAV165" s="6"/>
      <c r="AAW165" s="6"/>
      <c r="AAX165" s="6"/>
      <c r="AAY165" s="6"/>
      <c r="AAZ165" s="6"/>
      <c r="ABA165" s="6"/>
      <c r="ABB165" s="6"/>
      <c r="ABC165" s="6"/>
      <c r="ABD165" s="6"/>
      <c r="ABE165" s="6"/>
      <c r="ABF165" s="6"/>
      <c r="ABG165" s="6"/>
      <c r="ABH165" s="6"/>
      <c r="ABI165" s="6"/>
      <c r="ABJ165" s="6"/>
      <c r="ABK165" s="6"/>
      <c r="ABL165" s="6"/>
      <c r="ABM165" s="6"/>
      <c r="ABN165" s="6"/>
      <c r="ABO165" s="6"/>
      <c r="ABP165" s="6"/>
      <c r="ABQ165" s="6"/>
      <c r="ABR165" s="6"/>
      <c r="ABS165" s="6"/>
      <c r="ABT165" s="6"/>
      <c r="ABU165" s="6"/>
      <c r="ABV165" s="6"/>
      <c r="ABW165" s="6"/>
      <c r="ABX165" s="6"/>
      <c r="ABY165" s="6"/>
      <c r="ABZ165" s="6"/>
      <c r="ACA165" s="6"/>
      <c r="ACB165" s="6"/>
      <c r="ACC165" s="6"/>
      <c r="ACD165" s="6"/>
      <c r="ACE165" s="6"/>
      <c r="ACF165" s="6"/>
      <c r="ACG165" s="6"/>
      <c r="ACH165" s="6"/>
      <c r="ACI165" s="6"/>
      <c r="ACJ165" s="6"/>
      <c r="ACK165" s="6"/>
      <c r="ACL165" s="6"/>
      <c r="ACM165" s="6"/>
      <c r="ACN165" s="6"/>
      <c r="ACO165" s="6"/>
      <c r="ACP165" s="6"/>
      <c r="ACQ165" s="6"/>
      <c r="ACR165" s="6"/>
      <c r="ACS165" s="6"/>
      <c r="ACT165" s="6"/>
      <c r="ACU165" s="6"/>
      <c r="ACV165" s="6"/>
      <c r="ACW165" s="6"/>
      <c r="ACX165" s="6"/>
      <c r="ACY165" s="6"/>
      <c r="ACZ165" s="6"/>
      <c r="ADA165" s="6"/>
      <c r="ADB165" s="6"/>
      <c r="ADC165" s="6"/>
      <c r="ADD165" s="6"/>
      <c r="ADE165" s="6"/>
      <c r="ADF165" s="6"/>
      <c r="ADG165" s="6"/>
      <c r="ADH165" s="6"/>
      <c r="ADI165" s="6"/>
      <c r="ADJ165" s="6"/>
    </row>
    <row r="166" spans="1:790" s="291" customFormat="1" x14ac:dyDescent="0.3">
      <c r="A166" s="399"/>
      <c r="B166" s="574" t="s">
        <v>149</v>
      </c>
      <c r="C166" s="434"/>
      <c r="D166" s="435"/>
      <c r="E166" s="435"/>
      <c r="F166" s="436"/>
      <c r="G166" s="436"/>
      <c r="H166" s="436">
        <f>-J154</f>
        <v>-148.4</v>
      </c>
      <c r="I166" s="437" t="s">
        <v>22</v>
      </c>
      <c r="J166" s="362"/>
      <c r="K166" s="363"/>
      <c r="L166" s="370"/>
      <c r="M166" s="490"/>
      <c r="N166" s="489" t="str">
        <f t="shared" si="138"/>
        <v/>
      </c>
      <c r="O166" s="308"/>
      <c r="Q166" s="497"/>
      <c r="R166" s="481"/>
      <c r="S166" s="514"/>
      <c r="T166" s="515" t="str">
        <f t="shared" si="143"/>
        <v/>
      </c>
      <c r="U166" s="482" t="str">
        <f t="shared" si="144"/>
        <v/>
      </c>
      <c r="V166" s="514"/>
      <c r="W166" s="515" t="str">
        <f t="shared" si="145"/>
        <v/>
      </c>
      <c r="X166" s="507"/>
      <c r="Y166" s="507"/>
      <c r="Z166" s="478"/>
      <c r="AA166" s="471"/>
      <c r="AB166" s="471"/>
      <c r="AC166" s="471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6"/>
      <c r="KZ166" s="6"/>
      <c r="LA166" s="6"/>
      <c r="LB166" s="6"/>
      <c r="LC166" s="6"/>
      <c r="LD166" s="6"/>
      <c r="LE166" s="6"/>
      <c r="LF166" s="6"/>
      <c r="LG166" s="6"/>
      <c r="LH166" s="6"/>
      <c r="LI166" s="6"/>
      <c r="LJ166" s="6"/>
      <c r="LK166" s="6"/>
      <c r="LL166" s="6"/>
      <c r="LM166" s="6"/>
      <c r="LN166" s="6"/>
      <c r="LO166" s="6"/>
      <c r="LP166" s="6"/>
      <c r="LQ166" s="6"/>
      <c r="LR166" s="6"/>
      <c r="LS166" s="6"/>
      <c r="LT166" s="6"/>
      <c r="LU166" s="6"/>
      <c r="LV166" s="6"/>
      <c r="LW166" s="6"/>
      <c r="LX166" s="6"/>
      <c r="LY166" s="6"/>
      <c r="LZ166" s="6"/>
      <c r="MA166" s="6"/>
      <c r="MB166" s="6"/>
      <c r="MC166" s="6"/>
      <c r="MD166" s="6"/>
      <c r="ME166" s="6"/>
      <c r="MF166" s="6"/>
      <c r="MG166" s="6"/>
      <c r="MH166" s="6"/>
      <c r="MI166" s="6"/>
      <c r="MJ166" s="6"/>
      <c r="MK166" s="6"/>
      <c r="ML166" s="6"/>
      <c r="MM166" s="6"/>
      <c r="MN166" s="6"/>
      <c r="MO166" s="6"/>
      <c r="MP166" s="6"/>
      <c r="MQ166" s="6"/>
      <c r="MR166" s="6"/>
      <c r="MS166" s="6"/>
      <c r="MT166" s="6"/>
      <c r="MU166" s="6"/>
      <c r="MV166" s="6"/>
      <c r="MW166" s="6"/>
      <c r="MX166" s="6"/>
      <c r="MY166" s="6"/>
      <c r="MZ166" s="6"/>
      <c r="NA166" s="6"/>
      <c r="NB166" s="6"/>
      <c r="NC166" s="6"/>
      <c r="ND166" s="6"/>
      <c r="NE166" s="6"/>
      <c r="NF166" s="6"/>
      <c r="NG166" s="6"/>
      <c r="NH166" s="6"/>
      <c r="NI166" s="6"/>
      <c r="NJ166" s="6"/>
      <c r="NK166" s="6"/>
      <c r="NL166" s="6"/>
      <c r="NM166" s="6"/>
      <c r="NN166" s="6"/>
      <c r="NO166" s="6"/>
      <c r="NP166" s="6"/>
      <c r="NQ166" s="6"/>
      <c r="NR166" s="6"/>
      <c r="NS166" s="6"/>
      <c r="NT166" s="6"/>
      <c r="NU166" s="6"/>
      <c r="NV166" s="6"/>
      <c r="NW166" s="6"/>
      <c r="NX166" s="6"/>
      <c r="NY166" s="6"/>
      <c r="NZ166" s="6"/>
      <c r="OA166" s="6"/>
      <c r="OB166" s="6"/>
      <c r="OC166" s="6"/>
      <c r="OD166" s="6"/>
      <c r="OE166" s="6"/>
      <c r="OF166" s="6"/>
      <c r="OG166" s="6"/>
      <c r="OH166" s="6"/>
      <c r="OI166" s="6"/>
      <c r="OJ166" s="6"/>
      <c r="OK166" s="6"/>
      <c r="OL166" s="6"/>
      <c r="OM166" s="6"/>
      <c r="ON166" s="6"/>
      <c r="OO166" s="6"/>
      <c r="OP166" s="6"/>
      <c r="OQ166" s="6"/>
      <c r="OR166" s="6"/>
      <c r="OS166" s="6"/>
      <c r="OT166" s="6"/>
      <c r="OU166" s="6"/>
      <c r="OV166" s="6"/>
      <c r="OW166" s="6"/>
      <c r="OX166" s="6"/>
      <c r="OY166" s="6"/>
      <c r="OZ166" s="6"/>
      <c r="PA166" s="6"/>
      <c r="PB166" s="6"/>
      <c r="PC166" s="6"/>
      <c r="PD166" s="6"/>
      <c r="PE166" s="6"/>
      <c r="PF166" s="6"/>
      <c r="PG166" s="6"/>
      <c r="PH166" s="6"/>
      <c r="PI166" s="6"/>
      <c r="PJ166" s="6"/>
      <c r="PK166" s="6"/>
      <c r="PL166" s="6"/>
      <c r="PM166" s="6"/>
      <c r="PN166" s="6"/>
      <c r="PO166" s="6"/>
      <c r="PP166" s="6"/>
      <c r="PQ166" s="6"/>
      <c r="PR166" s="6"/>
      <c r="PS166" s="6"/>
      <c r="PT166" s="6"/>
      <c r="PU166" s="6"/>
      <c r="PV166" s="6"/>
      <c r="PW166" s="6"/>
      <c r="PX166" s="6"/>
      <c r="PY166" s="6"/>
      <c r="PZ166" s="6"/>
      <c r="QA166" s="6"/>
      <c r="QB166" s="6"/>
      <c r="QC166" s="6"/>
      <c r="QD166" s="6"/>
      <c r="QE166" s="6"/>
      <c r="QF166" s="6"/>
      <c r="QG166" s="6"/>
      <c r="QH166" s="6"/>
      <c r="QI166" s="6"/>
      <c r="QJ166" s="6"/>
      <c r="QK166" s="6"/>
      <c r="QL166" s="6"/>
      <c r="QM166" s="6"/>
      <c r="QN166" s="6"/>
      <c r="QO166" s="6"/>
      <c r="QP166" s="6"/>
      <c r="QQ166" s="6"/>
      <c r="QR166" s="6"/>
      <c r="QS166" s="6"/>
      <c r="QT166" s="6"/>
      <c r="QU166" s="6"/>
      <c r="QV166" s="6"/>
      <c r="QW166" s="6"/>
      <c r="QX166" s="6"/>
      <c r="QY166" s="6"/>
      <c r="QZ166" s="6"/>
      <c r="RA166" s="6"/>
      <c r="RB166" s="6"/>
      <c r="RC166" s="6"/>
      <c r="RD166" s="6"/>
      <c r="RE166" s="6"/>
      <c r="RF166" s="6"/>
      <c r="RG166" s="6"/>
      <c r="RH166" s="6"/>
      <c r="RI166" s="6"/>
      <c r="RJ166" s="6"/>
      <c r="RK166" s="6"/>
      <c r="RL166" s="6"/>
      <c r="RM166" s="6"/>
      <c r="RN166" s="6"/>
      <c r="RO166" s="6"/>
      <c r="RP166" s="6"/>
      <c r="RQ166" s="6"/>
      <c r="RR166" s="6"/>
      <c r="RS166" s="6"/>
      <c r="RT166" s="6"/>
      <c r="RU166" s="6"/>
      <c r="RV166" s="6"/>
      <c r="RW166" s="6"/>
      <c r="RX166" s="6"/>
      <c r="RY166" s="6"/>
      <c r="RZ166" s="6"/>
      <c r="SA166" s="6"/>
      <c r="SB166" s="6"/>
      <c r="SC166" s="6"/>
      <c r="SD166" s="6"/>
      <c r="SE166" s="6"/>
      <c r="SF166" s="6"/>
      <c r="SG166" s="6"/>
      <c r="SH166" s="6"/>
      <c r="SI166" s="6"/>
      <c r="SJ166" s="6"/>
      <c r="SK166" s="6"/>
      <c r="SL166" s="6"/>
      <c r="SM166" s="6"/>
      <c r="SN166" s="6"/>
      <c r="SO166" s="6"/>
      <c r="SP166" s="6"/>
      <c r="SQ166" s="6"/>
      <c r="SR166" s="6"/>
      <c r="SS166" s="6"/>
      <c r="ST166" s="6"/>
      <c r="SU166" s="6"/>
      <c r="SV166" s="6"/>
      <c r="SW166" s="6"/>
      <c r="SX166" s="6"/>
      <c r="SY166" s="6"/>
      <c r="SZ166" s="6"/>
      <c r="TA166" s="6"/>
      <c r="TB166" s="6"/>
      <c r="TC166" s="6"/>
      <c r="TD166" s="6"/>
      <c r="TE166" s="6"/>
      <c r="TF166" s="6"/>
      <c r="TG166" s="6"/>
      <c r="TH166" s="6"/>
      <c r="TI166" s="6"/>
      <c r="TJ166" s="6"/>
      <c r="TK166" s="6"/>
      <c r="TL166" s="6"/>
      <c r="TM166" s="6"/>
      <c r="TN166" s="6"/>
      <c r="TO166" s="6"/>
      <c r="TP166" s="6"/>
      <c r="TQ166" s="6"/>
      <c r="TR166" s="6"/>
      <c r="TS166" s="6"/>
      <c r="TT166" s="6"/>
      <c r="TU166" s="6"/>
      <c r="TV166" s="6"/>
      <c r="TW166" s="6"/>
      <c r="TX166" s="6"/>
      <c r="TY166" s="6"/>
      <c r="TZ166" s="6"/>
      <c r="UA166" s="6"/>
      <c r="UB166" s="6"/>
      <c r="UC166" s="6"/>
      <c r="UD166" s="6"/>
      <c r="UE166" s="6"/>
      <c r="UF166" s="6"/>
      <c r="UG166" s="6"/>
      <c r="UH166" s="6"/>
      <c r="UI166" s="6"/>
      <c r="UJ166" s="6"/>
      <c r="UK166" s="6"/>
      <c r="UL166" s="6"/>
      <c r="UM166" s="6"/>
      <c r="UN166" s="6"/>
      <c r="UO166" s="6"/>
      <c r="UP166" s="6"/>
      <c r="UQ166" s="6"/>
      <c r="UR166" s="6"/>
      <c r="US166" s="6"/>
      <c r="UT166" s="6"/>
      <c r="UU166" s="6"/>
      <c r="UV166" s="6"/>
      <c r="UW166" s="6"/>
      <c r="UX166" s="6"/>
      <c r="UY166" s="6"/>
      <c r="UZ166" s="6"/>
      <c r="VA166" s="6"/>
      <c r="VB166" s="6"/>
      <c r="VC166" s="6"/>
      <c r="VD166" s="6"/>
      <c r="VE166" s="6"/>
      <c r="VF166" s="6"/>
      <c r="VG166" s="6"/>
      <c r="VH166" s="6"/>
      <c r="VI166" s="6"/>
      <c r="VJ166" s="6"/>
      <c r="VK166" s="6"/>
      <c r="VL166" s="6"/>
      <c r="VM166" s="6"/>
      <c r="VN166" s="6"/>
      <c r="VO166" s="6"/>
      <c r="VP166" s="6"/>
      <c r="VQ166" s="6"/>
      <c r="VR166" s="6"/>
      <c r="VS166" s="6"/>
      <c r="VT166" s="6"/>
      <c r="VU166" s="6"/>
      <c r="VV166" s="6"/>
      <c r="VW166" s="6"/>
      <c r="VX166" s="6"/>
      <c r="VY166" s="6"/>
      <c r="VZ166" s="6"/>
      <c r="WA166" s="6"/>
      <c r="WB166" s="6"/>
      <c r="WC166" s="6"/>
      <c r="WD166" s="6"/>
      <c r="WE166" s="6"/>
      <c r="WF166" s="6"/>
      <c r="WG166" s="6"/>
      <c r="WH166" s="6"/>
      <c r="WI166" s="6"/>
      <c r="WJ166" s="6"/>
      <c r="WK166" s="6"/>
      <c r="WL166" s="6"/>
      <c r="WM166" s="6"/>
      <c r="WN166" s="6"/>
      <c r="WO166" s="6"/>
      <c r="WP166" s="6"/>
      <c r="WQ166" s="6"/>
      <c r="WR166" s="6"/>
      <c r="WS166" s="6"/>
      <c r="WT166" s="6"/>
      <c r="WU166" s="6"/>
      <c r="WV166" s="6"/>
      <c r="WW166" s="6"/>
      <c r="WX166" s="6"/>
      <c r="WY166" s="6"/>
      <c r="WZ166" s="6"/>
      <c r="XA166" s="6"/>
      <c r="XB166" s="6"/>
      <c r="XC166" s="6"/>
      <c r="XD166" s="6"/>
      <c r="XE166" s="6"/>
      <c r="XF166" s="6"/>
      <c r="XG166" s="6"/>
      <c r="XH166" s="6"/>
      <c r="XI166" s="6"/>
      <c r="XJ166" s="6"/>
      <c r="XK166" s="6"/>
      <c r="XL166" s="6"/>
      <c r="XM166" s="6"/>
      <c r="XN166" s="6"/>
      <c r="XO166" s="6"/>
      <c r="XP166" s="6"/>
      <c r="XQ166" s="6"/>
      <c r="XR166" s="6"/>
      <c r="XS166" s="6"/>
      <c r="XT166" s="6"/>
      <c r="XU166" s="6"/>
      <c r="XV166" s="6"/>
      <c r="XW166" s="6"/>
      <c r="XX166" s="6"/>
      <c r="XY166" s="6"/>
      <c r="XZ166" s="6"/>
      <c r="YA166" s="6"/>
      <c r="YB166" s="6"/>
      <c r="YC166" s="6"/>
      <c r="YD166" s="6"/>
      <c r="YE166" s="6"/>
      <c r="YF166" s="6"/>
      <c r="YG166" s="6"/>
      <c r="YH166" s="6"/>
      <c r="YI166" s="6"/>
      <c r="YJ166" s="6"/>
      <c r="YK166" s="6"/>
      <c r="YL166" s="6"/>
      <c r="YM166" s="6"/>
      <c r="YN166" s="6"/>
      <c r="YO166" s="6"/>
      <c r="YP166" s="6"/>
      <c r="YQ166" s="6"/>
      <c r="YR166" s="6"/>
      <c r="YS166" s="6"/>
      <c r="YT166" s="6"/>
      <c r="YU166" s="6"/>
      <c r="YV166" s="6"/>
      <c r="YW166" s="6"/>
      <c r="YX166" s="6"/>
      <c r="YY166" s="6"/>
      <c r="YZ166" s="6"/>
      <c r="ZA166" s="6"/>
      <c r="ZB166" s="6"/>
      <c r="ZC166" s="6"/>
      <c r="ZD166" s="6"/>
      <c r="ZE166" s="6"/>
      <c r="ZF166" s="6"/>
      <c r="ZG166" s="6"/>
      <c r="ZH166" s="6"/>
      <c r="ZI166" s="6"/>
      <c r="ZJ166" s="6"/>
      <c r="ZK166" s="6"/>
      <c r="ZL166" s="6"/>
      <c r="ZM166" s="6"/>
      <c r="ZN166" s="6"/>
      <c r="ZO166" s="6"/>
      <c r="ZP166" s="6"/>
      <c r="ZQ166" s="6"/>
      <c r="ZR166" s="6"/>
      <c r="ZS166" s="6"/>
      <c r="ZT166" s="6"/>
      <c r="ZU166" s="6"/>
      <c r="ZV166" s="6"/>
      <c r="ZW166" s="6"/>
      <c r="ZX166" s="6"/>
      <c r="ZY166" s="6"/>
      <c r="ZZ166" s="6"/>
      <c r="AAA166" s="6"/>
      <c r="AAB166" s="6"/>
      <c r="AAC166" s="6"/>
      <c r="AAD166" s="6"/>
      <c r="AAE166" s="6"/>
      <c r="AAF166" s="6"/>
      <c r="AAG166" s="6"/>
      <c r="AAH166" s="6"/>
      <c r="AAI166" s="6"/>
      <c r="AAJ166" s="6"/>
      <c r="AAK166" s="6"/>
      <c r="AAL166" s="6"/>
      <c r="AAM166" s="6"/>
      <c r="AAN166" s="6"/>
      <c r="AAO166" s="6"/>
      <c r="AAP166" s="6"/>
      <c r="AAQ166" s="6"/>
      <c r="AAR166" s="6"/>
      <c r="AAS166" s="6"/>
      <c r="AAT166" s="6"/>
      <c r="AAU166" s="6"/>
      <c r="AAV166" s="6"/>
      <c r="AAW166" s="6"/>
      <c r="AAX166" s="6"/>
      <c r="AAY166" s="6"/>
      <c r="AAZ166" s="6"/>
      <c r="ABA166" s="6"/>
      <c r="ABB166" s="6"/>
      <c r="ABC166" s="6"/>
      <c r="ABD166" s="6"/>
      <c r="ABE166" s="6"/>
      <c r="ABF166" s="6"/>
      <c r="ABG166" s="6"/>
      <c r="ABH166" s="6"/>
      <c r="ABI166" s="6"/>
      <c r="ABJ166" s="6"/>
      <c r="ABK166" s="6"/>
      <c r="ABL166" s="6"/>
      <c r="ABM166" s="6"/>
      <c r="ABN166" s="6"/>
      <c r="ABO166" s="6"/>
      <c r="ABP166" s="6"/>
      <c r="ABQ166" s="6"/>
      <c r="ABR166" s="6"/>
      <c r="ABS166" s="6"/>
      <c r="ABT166" s="6"/>
      <c r="ABU166" s="6"/>
      <c r="ABV166" s="6"/>
      <c r="ABW166" s="6"/>
      <c r="ABX166" s="6"/>
      <c r="ABY166" s="6"/>
      <c r="ABZ166" s="6"/>
      <c r="ACA166" s="6"/>
      <c r="ACB166" s="6"/>
      <c r="ACC166" s="6"/>
      <c r="ACD166" s="6"/>
      <c r="ACE166" s="6"/>
      <c r="ACF166" s="6"/>
      <c r="ACG166" s="6"/>
      <c r="ACH166" s="6"/>
      <c r="ACI166" s="6"/>
      <c r="ACJ166" s="6"/>
      <c r="ACK166" s="6"/>
      <c r="ACL166" s="6"/>
      <c r="ACM166" s="6"/>
      <c r="ACN166" s="6"/>
      <c r="ACO166" s="6"/>
      <c r="ACP166" s="6"/>
      <c r="ACQ166" s="6"/>
      <c r="ACR166" s="6"/>
      <c r="ACS166" s="6"/>
      <c r="ACT166" s="6"/>
      <c r="ACU166" s="6"/>
      <c r="ACV166" s="6"/>
      <c r="ACW166" s="6"/>
      <c r="ACX166" s="6"/>
      <c r="ACY166" s="6"/>
      <c r="ACZ166" s="6"/>
      <c r="ADA166" s="6"/>
      <c r="ADB166" s="6"/>
      <c r="ADC166" s="6"/>
      <c r="ADD166" s="6"/>
      <c r="ADE166" s="6"/>
      <c r="ADF166" s="6"/>
      <c r="ADG166" s="6"/>
      <c r="ADH166" s="6"/>
      <c r="ADI166" s="6"/>
      <c r="ADJ166" s="6"/>
    </row>
    <row r="167" spans="1:790" s="291" customFormat="1" x14ac:dyDescent="0.3">
      <c r="A167" s="399"/>
      <c r="B167" s="574" t="s">
        <v>147</v>
      </c>
      <c r="C167" s="434"/>
      <c r="D167" s="435"/>
      <c r="E167" s="435"/>
      <c r="F167" s="436">
        <v>742</v>
      </c>
      <c r="G167" s="436">
        <v>2.7</v>
      </c>
      <c r="H167" s="436">
        <f>-PRODUCT(C167:G167)</f>
        <v>-2003.4</v>
      </c>
      <c r="I167" s="437" t="s">
        <v>22</v>
      </c>
      <c r="J167" s="362"/>
      <c r="K167" s="363"/>
      <c r="L167" s="370"/>
      <c r="M167" s="490"/>
      <c r="N167" s="489" t="str">
        <f t="shared" si="138"/>
        <v/>
      </c>
      <c r="O167" s="308"/>
      <c r="Q167" s="497"/>
      <c r="R167" s="481"/>
      <c r="S167" s="514"/>
      <c r="T167" s="515" t="str">
        <f t="shared" si="143"/>
        <v/>
      </c>
      <c r="U167" s="482" t="str">
        <f t="shared" si="144"/>
        <v/>
      </c>
      <c r="V167" s="514"/>
      <c r="W167" s="515" t="str">
        <f t="shared" si="145"/>
        <v/>
      </c>
      <c r="X167" s="507"/>
      <c r="Y167" s="507"/>
      <c r="Z167" s="478"/>
      <c r="AA167" s="471"/>
      <c r="AB167" s="471"/>
      <c r="AC167" s="471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6"/>
      <c r="IK167" s="6"/>
      <c r="IL167" s="6"/>
      <c r="IM167" s="6"/>
      <c r="IN167" s="6"/>
      <c r="IO167" s="6"/>
      <c r="IP167" s="6"/>
      <c r="IQ167" s="6"/>
      <c r="IR167" s="6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6"/>
      <c r="KZ167" s="6"/>
      <c r="LA167" s="6"/>
      <c r="LB167" s="6"/>
      <c r="LC167" s="6"/>
      <c r="LD167" s="6"/>
      <c r="LE167" s="6"/>
      <c r="LF167" s="6"/>
      <c r="LG167" s="6"/>
      <c r="LH167" s="6"/>
      <c r="LI167" s="6"/>
      <c r="LJ167" s="6"/>
      <c r="LK167" s="6"/>
      <c r="LL167" s="6"/>
      <c r="LM167" s="6"/>
      <c r="LN167" s="6"/>
      <c r="LO167" s="6"/>
      <c r="LP167" s="6"/>
      <c r="LQ167" s="6"/>
      <c r="LR167" s="6"/>
      <c r="LS167" s="6"/>
      <c r="LT167" s="6"/>
      <c r="LU167" s="6"/>
      <c r="LV167" s="6"/>
      <c r="LW167" s="6"/>
      <c r="LX167" s="6"/>
      <c r="LY167" s="6"/>
      <c r="LZ167" s="6"/>
      <c r="MA167" s="6"/>
      <c r="MB167" s="6"/>
      <c r="MC167" s="6"/>
      <c r="MD167" s="6"/>
      <c r="ME167" s="6"/>
      <c r="MF167" s="6"/>
      <c r="MG167" s="6"/>
      <c r="MH167" s="6"/>
      <c r="MI167" s="6"/>
      <c r="MJ167" s="6"/>
      <c r="MK167" s="6"/>
      <c r="ML167" s="6"/>
      <c r="MM167" s="6"/>
      <c r="MN167" s="6"/>
      <c r="MO167" s="6"/>
      <c r="MP167" s="6"/>
      <c r="MQ167" s="6"/>
      <c r="MR167" s="6"/>
      <c r="MS167" s="6"/>
      <c r="MT167" s="6"/>
      <c r="MU167" s="6"/>
      <c r="MV167" s="6"/>
      <c r="MW167" s="6"/>
      <c r="MX167" s="6"/>
      <c r="MY167" s="6"/>
      <c r="MZ167" s="6"/>
      <c r="NA167" s="6"/>
      <c r="NB167" s="6"/>
      <c r="NC167" s="6"/>
      <c r="ND167" s="6"/>
      <c r="NE167" s="6"/>
      <c r="NF167" s="6"/>
      <c r="NG167" s="6"/>
      <c r="NH167" s="6"/>
      <c r="NI167" s="6"/>
      <c r="NJ167" s="6"/>
      <c r="NK167" s="6"/>
      <c r="NL167" s="6"/>
      <c r="NM167" s="6"/>
      <c r="NN167" s="6"/>
      <c r="NO167" s="6"/>
      <c r="NP167" s="6"/>
      <c r="NQ167" s="6"/>
      <c r="NR167" s="6"/>
      <c r="NS167" s="6"/>
      <c r="NT167" s="6"/>
      <c r="NU167" s="6"/>
      <c r="NV167" s="6"/>
      <c r="NW167" s="6"/>
      <c r="NX167" s="6"/>
      <c r="NY167" s="6"/>
      <c r="NZ167" s="6"/>
      <c r="OA167" s="6"/>
      <c r="OB167" s="6"/>
      <c r="OC167" s="6"/>
      <c r="OD167" s="6"/>
      <c r="OE167" s="6"/>
      <c r="OF167" s="6"/>
      <c r="OG167" s="6"/>
      <c r="OH167" s="6"/>
      <c r="OI167" s="6"/>
      <c r="OJ167" s="6"/>
      <c r="OK167" s="6"/>
      <c r="OL167" s="6"/>
      <c r="OM167" s="6"/>
      <c r="ON167" s="6"/>
      <c r="OO167" s="6"/>
      <c r="OP167" s="6"/>
      <c r="OQ167" s="6"/>
      <c r="OR167" s="6"/>
      <c r="OS167" s="6"/>
      <c r="OT167" s="6"/>
      <c r="OU167" s="6"/>
      <c r="OV167" s="6"/>
      <c r="OW167" s="6"/>
      <c r="OX167" s="6"/>
      <c r="OY167" s="6"/>
      <c r="OZ167" s="6"/>
      <c r="PA167" s="6"/>
      <c r="PB167" s="6"/>
      <c r="PC167" s="6"/>
      <c r="PD167" s="6"/>
      <c r="PE167" s="6"/>
      <c r="PF167" s="6"/>
      <c r="PG167" s="6"/>
      <c r="PH167" s="6"/>
      <c r="PI167" s="6"/>
      <c r="PJ167" s="6"/>
      <c r="PK167" s="6"/>
      <c r="PL167" s="6"/>
      <c r="PM167" s="6"/>
      <c r="PN167" s="6"/>
      <c r="PO167" s="6"/>
      <c r="PP167" s="6"/>
      <c r="PQ167" s="6"/>
      <c r="PR167" s="6"/>
      <c r="PS167" s="6"/>
      <c r="PT167" s="6"/>
      <c r="PU167" s="6"/>
      <c r="PV167" s="6"/>
      <c r="PW167" s="6"/>
      <c r="PX167" s="6"/>
      <c r="PY167" s="6"/>
      <c r="PZ167" s="6"/>
      <c r="QA167" s="6"/>
      <c r="QB167" s="6"/>
      <c r="QC167" s="6"/>
      <c r="QD167" s="6"/>
      <c r="QE167" s="6"/>
      <c r="QF167" s="6"/>
      <c r="QG167" s="6"/>
      <c r="QH167" s="6"/>
      <c r="QI167" s="6"/>
      <c r="QJ167" s="6"/>
      <c r="QK167" s="6"/>
      <c r="QL167" s="6"/>
      <c r="QM167" s="6"/>
      <c r="QN167" s="6"/>
      <c r="QO167" s="6"/>
      <c r="QP167" s="6"/>
      <c r="QQ167" s="6"/>
      <c r="QR167" s="6"/>
      <c r="QS167" s="6"/>
      <c r="QT167" s="6"/>
      <c r="QU167" s="6"/>
      <c r="QV167" s="6"/>
      <c r="QW167" s="6"/>
      <c r="QX167" s="6"/>
      <c r="QY167" s="6"/>
      <c r="QZ167" s="6"/>
      <c r="RA167" s="6"/>
      <c r="RB167" s="6"/>
      <c r="RC167" s="6"/>
      <c r="RD167" s="6"/>
      <c r="RE167" s="6"/>
      <c r="RF167" s="6"/>
      <c r="RG167" s="6"/>
      <c r="RH167" s="6"/>
      <c r="RI167" s="6"/>
      <c r="RJ167" s="6"/>
      <c r="RK167" s="6"/>
      <c r="RL167" s="6"/>
      <c r="RM167" s="6"/>
      <c r="RN167" s="6"/>
      <c r="RO167" s="6"/>
      <c r="RP167" s="6"/>
      <c r="RQ167" s="6"/>
      <c r="RR167" s="6"/>
      <c r="RS167" s="6"/>
      <c r="RT167" s="6"/>
      <c r="RU167" s="6"/>
      <c r="RV167" s="6"/>
      <c r="RW167" s="6"/>
      <c r="RX167" s="6"/>
      <c r="RY167" s="6"/>
      <c r="RZ167" s="6"/>
      <c r="SA167" s="6"/>
      <c r="SB167" s="6"/>
      <c r="SC167" s="6"/>
      <c r="SD167" s="6"/>
      <c r="SE167" s="6"/>
      <c r="SF167" s="6"/>
      <c r="SG167" s="6"/>
      <c r="SH167" s="6"/>
      <c r="SI167" s="6"/>
      <c r="SJ167" s="6"/>
      <c r="SK167" s="6"/>
      <c r="SL167" s="6"/>
      <c r="SM167" s="6"/>
      <c r="SN167" s="6"/>
      <c r="SO167" s="6"/>
      <c r="SP167" s="6"/>
      <c r="SQ167" s="6"/>
      <c r="SR167" s="6"/>
      <c r="SS167" s="6"/>
      <c r="ST167" s="6"/>
      <c r="SU167" s="6"/>
      <c r="SV167" s="6"/>
      <c r="SW167" s="6"/>
      <c r="SX167" s="6"/>
      <c r="SY167" s="6"/>
      <c r="SZ167" s="6"/>
      <c r="TA167" s="6"/>
      <c r="TB167" s="6"/>
      <c r="TC167" s="6"/>
      <c r="TD167" s="6"/>
      <c r="TE167" s="6"/>
      <c r="TF167" s="6"/>
      <c r="TG167" s="6"/>
      <c r="TH167" s="6"/>
      <c r="TI167" s="6"/>
      <c r="TJ167" s="6"/>
      <c r="TK167" s="6"/>
      <c r="TL167" s="6"/>
      <c r="TM167" s="6"/>
      <c r="TN167" s="6"/>
      <c r="TO167" s="6"/>
      <c r="TP167" s="6"/>
      <c r="TQ167" s="6"/>
      <c r="TR167" s="6"/>
      <c r="TS167" s="6"/>
      <c r="TT167" s="6"/>
      <c r="TU167" s="6"/>
      <c r="TV167" s="6"/>
      <c r="TW167" s="6"/>
      <c r="TX167" s="6"/>
      <c r="TY167" s="6"/>
      <c r="TZ167" s="6"/>
      <c r="UA167" s="6"/>
      <c r="UB167" s="6"/>
      <c r="UC167" s="6"/>
      <c r="UD167" s="6"/>
      <c r="UE167" s="6"/>
      <c r="UF167" s="6"/>
      <c r="UG167" s="6"/>
      <c r="UH167" s="6"/>
      <c r="UI167" s="6"/>
      <c r="UJ167" s="6"/>
      <c r="UK167" s="6"/>
      <c r="UL167" s="6"/>
      <c r="UM167" s="6"/>
      <c r="UN167" s="6"/>
      <c r="UO167" s="6"/>
      <c r="UP167" s="6"/>
      <c r="UQ167" s="6"/>
      <c r="UR167" s="6"/>
      <c r="US167" s="6"/>
      <c r="UT167" s="6"/>
      <c r="UU167" s="6"/>
      <c r="UV167" s="6"/>
      <c r="UW167" s="6"/>
      <c r="UX167" s="6"/>
      <c r="UY167" s="6"/>
      <c r="UZ167" s="6"/>
      <c r="VA167" s="6"/>
      <c r="VB167" s="6"/>
      <c r="VC167" s="6"/>
      <c r="VD167" s="6"/>
      <c r="VE167" s="6"/>
      <c r="VF167" s="6"/>
      <c r="VG167" s="6"/>
      <c r="VH167" s="6"/>
      <c r="VI167" s="6"/>
      <c r="VJ167" s="6"/>
      <c r="VK167" s="6"/>
      <c r="VL167" s="6"/>
      <c r="VM167" s="6"/>
      <c r="VN167" s="6"/>
      <c r="VO167" s="6"/>
      <c r="VP167" s="6"/>
      <c r="VQ167" s="6"/>
      <c r="VR167" s="6"/>
      <c r="VS167" s="6"/>
      <c r="VT167" s="6"/>
      <c r="VU167" s="6"/>
      <c r="VV167" s="6"/>
      <c r="VW167" s="6"/>
      <c r="VX167" s="6"/>
      <c r="VY167" s="6"/>
      <c r="VZ167" s="6"/>
      <c r="WA167" s="6"/>
      <c r="WB167" s="6"/>
      <c r="WC167" s="6"/>
      <c r="WD167" s="6"/>
      <c r="WE167" s="6"/>
      <c r="WF167" s="6"/>
      <c r="WG167" s="6"/>
      <c r="WH167" s="6"/>
      <c r="WI167" s="6"/>
      <c r="WJ167" s="6"/>
      <c r="WK167" s="6"/>
      <c r="WL167" s="6"/>
      <c r="WM167" s="6"/>
      <c r="WN167" s="6"/>
      <c r="WO167" s="6"/>
      <c r="WP167" s="6"/>
      <c r="WQ167" s="6"/>
      <c r="WR167" s="6"/>
      <c r="WS167" s="6"/>
      <c r="WT167" s="6"/>
      <c r="WU167" s="6"/>
      <c r="WV167" s="6"/>
      <c r="WW167" s="6"/>
      <c r="WX167" s="6"/>
      <c r="WY167" s="6"/>
      <c r="WZ167" s="6"/>
      <c r="XA167" s="6"/>
      <c r="XB167" s="6"/>
      <c r="XC167" s="6"/>
      <c r="XD167" s="6"/>
      <c r="XE167" s="6"/>
      <c r="XF167" s="6"/>
      <c r="XG167" s="6"/>
      <c r="XH167" s="6"/>
      <c r="XI167" s="6"/>
      <c r="XJ167" s="6"/>
      <c r="XK167" s="6"/>
      <c r="XL167" s="6"/>
      <c r="XM167" s="6"/>
      <c r="XN167" s="6"/>
      <c r="XO167" s="6"/>
      <c r="XP167" s="6"/>
      <c r="XQ167" s="6"/>
      <c r="XR167" s="6"/>
      <c r="XS167" s="6"/>
      <c r="XT167" s="6"/>
      <c r="XU167" s="6"/>
      <c r="XV167" s="6"/>
      <c r="XW167" s="6"/>
      <c r="XX167" s="6"/>
      <c r="XY167" s="6"/>
      <c r="XZ167" s="6"/>
      <c r="YA167" s="6"/>
      <c r="YB167" s="6"/>
      <c r="YC167" s="6"/>
      <c r="YD167" s="6"/>
      <c r="YE167" s="6"/>
      <c r="YF167" s="6"/>
      <c r="YG167" s="6"/>
      <c r="YH167" s="6"/>
      <c r="YI167" s="6"/>
      <c r="YJ167" s="6"/>
      <c r="YK167" s="6"/>
      <c r="YL167" s="6"/>
      <c r="YM167" s="6"/>
      <c r="YN167" s="6"/>
      <c r="YO167" s="6"/>
      <c r="YP167" s="6"/>
      <c r="YQ167" s="6"/>
      <c r="YR167" s="6"/>
      <c r="YS167" s="6"/>
      <c r="YT167" s="6"/>
      <c r="YU167" s="6"/>
      <c r="YV167" s="6"/>
      <c r="YW167" s="6"/>
      <c r="YX167" s="6"/>
      <c r="YY167" s="6"/>
      <c r="YZ167" s="6"/>
      <c r="ZA167" s="6"/>
      <c r="ZB167" s="6"/>
      <c r="ZC167" s="6"/>
      <c r="ZD167" s="6"/>
      <c r="ZE167" s="6"/>
      <c r="ZF167" s="6"/>
      <c r="ZG167" s="6"/>
      <c r="ZH167" s="6"/>
      <c r="ZI167" s="6"/>
      <c r="ZJ167" s="6"/>
      <c r="ZK167" s="6"/>
      <c r="ZL167" s="6"/>
      <c r="ZM167" s="6"/>
      <c r="ZN167" s="6"/>
      <c r="ZO167" s="6"/>
      <c r="ZP167" s="6"/>
      <c r="ZQ167" s="6"/>
      <c r="ZR167" s="6"/>
      <c r="ZS167" s="6"/>
      <c r="ZT167" s="6"/>
      <c r="ZU167" s="6"/>
      <c r="ZV167" s="6"/>
      <c r="ZW167" s="6"/>
      <c r="ZX167" s="6"/>
      <c r="ZY167" s="6"/>
      <c r="ZZ167" s="6"/>
      <c r="AAA167" s="6"/>
      <c r="AAB167" s="6"/>
      <c r="AAC167" s="6"/>
      <c r="AAD167" s="6"/>
      <c r="AAE167" s="6"/>
      <c r="AAF167" s="6"/>
      <c r="AAG167" s="6"/>
      <c r="AAH167" s="6"/>
      <c r="AAI167" s="6"/>
      <c r="AAJ167" s="6"/>
      <c r="AAK167" s="6"/>
      <c r="AAL167" s="6"/>
      <c r="AAM167" s="6"/>
      <c r="AAN167" s="6"/>
      <c r="AAO167" s="6"/>
      <c r="AAP167" s="6"/>
      <c r="AAQ167" s="6"/>
      <c r="AAR167" s="6"/>
      <c r="AAS167" s="6"/>
      <c r="AAT167" s="6"/>
      <c r="AAU167" s="6"/>
      <c r="AAV167" s="6"/>
      <c r="AAW167" s="6"/>
      <c r="AAX167" s="6"/>
      <c r="AAY167" s="6"/>
      <c r="AAZ167" s="6"/>
      <c r="ABA167" s="6"/>
      <c r="ABB167" s="6"/>
      <c r="ABC167" s="6"/>
      <c r="ABD167" s="6"/>
      <c r="ABE167" s="6"/>
      <c r="ABF167" s="6"/>
      <c r="ABG167" s="6"/>
      <c r="ABH167" s="6"/>
      <c r="ABI167" s="6"/>
      <c r="ABJ167" s="6"/>
      <c r="ABK167" s="6"/>
      <c r="ABL167" s="6"/>
      <c r="ABM167" s="6"/>
      <c r="ABN167" s="6"/>
      <c r="ABO167" s="6"/>
      <c r="ABP167" s="6"/>
      <c r="ABQ167" s="6"/>
      <c r="ABR167" s="6"/>
      <c r="ABS167" s="6"/>
      <c r="ABT167" s="6"/>
      <c r="ABU167" s="6"/>
      <c r="ABV167" s="6"/>
      <c r="ABW167" s="6"/>
      <c r="ABX167" s="6"/>
      <c r="ABY167" s="6"/>
      <c r="ABZ167" s="6"/>
      <c r="ACA167" s="6"/>
      <c r="ACB167" s="6"/>
      <c r="ACC167" s="6"/>
      <c r="ACD167" s="6"/>
      <c r="ACE167" s="6"/>
      <c r="ACF167" s="6"/>
      <c r="ACG167" s="6"/>
      <c r="ACH167" s="6"/>
      <c r="ACI167" s="6"/>
      <c r="ACJ167" s="6"/>
      <c r="ACK167" s="6"/>
      <c r="ACL167" s="6"/>
      <c r="ACM167" s="6"/>
      <c r="ACN167" s="6"/>
      <c r="ACO167" s="6"/>
      <c r="ACP167" s="6"/>
      <c r="ACQ167" s="6"/>
      <c r="ACR167" s="6"/>
      <c r="ACS167" s="6"/>
      <c r="ACT167" s="6"/>
      <c r="ACU167" s="6"/>
      <c r="ACV167" s="6"/>
      <c r="ACW167" s="6"/>
      <c r="ACX167" s="6"/>
      <c r="ACY167" s="6"/>
      <c r="ACZ167" s="6"/>
      <c r="ADA167" s="6"/>
      <c r="ADB167" s="6"/>
      <c r="ADC167" s="6"/>
      <c r="ADD167" s="6"/>
      <c r="ADE167" s="6"/>
      <c r="ADF167" s="6"/>
      <c r="ADG167" s="6"/>
      <c r="ADH167" s="6"/>
      <c r="ADI167" s="6"/>
      <c r="ADJ167" s="6"/>
    </row>
    <row r="168" spans="1:790" s="291" customFormat="1" x14ac:dyDescent="0.3">
      <c r="A168" s="399"/>
      <c r="B168" s="575" t="s">
        <v>150</v>
      </c>
      <c r="C168" s="427"/>
      <c r="D168" s="427"/>
      <c r="E168" s="427"/>
      <c r="F168" s="427"/>
      <c r="G168" s="427"/>
      <c r="H168" s="427">
        <f>SUM(H164:H167)</f>
        <v>2000.4000000000005</v>
      </c>
      <c r="I168" s="369" t="s">
        <v>22</v>
      </c>
      <c r="J168" s="403">
        <f>H168</f>
        <v>2000.4000000000005</v>
      </c>
      <c r="K168" s="363">
        <v>5</v>
      </c>
      <c r="L168" s="370">
        <f t="shared" ref="L168" si="166">J168*K168</f>
        <v>10002.000000000004</v>
      </c>
      <c r="M168" s="490">
        <f t="shared" ref="M168" si="167">K168*(100%-16.5%)</f>
        <v>4.1749999999999998</v>
      </c>
      <c r="N168" s="489">
        <f t="shared" si="138"/>
        <v>8351.6700000000019</v>
      </c>
      <c r="O168" s="308" t="s">
        <v>209</v>
      </c>
      <c r="Q168" s="497" t="s">
        <v>209</v>
      </c>
      <c r="R168" s="481">
        <f t="shared" si="148"/>
        <v>2000.4000000000005</v>
      </c>
      <c r="S168" s="514">
        <v>2.5</v>
      </c>
      <c r="T168" s="515">
        <f t="shared" si="143"/>
        <v>5001.0000000000018</v>
      </c>
      <c r="U168" s="482">
        <f t="shared" si="144"/>
        <v>2000.4000000000005</v>
      </c>
      <c r="V168" s="514"/>
      <c r="W168" s="515" t="str">
        <f t="shared" si="145"/>
        <v/>
      </c>
      <c r="X168" s="507">
        <f t="shared" ref="X168" si="168">V168+S168</f>
        <v>2.5</v>
      </c>
      <c r="Y168" s="520">
        <f t="shared" ref="Y168" si="169">M168-X168</f>
        <v>1.6749999999999998</v>
      </c>
      <c r="Z168" s="521">
        <f t="shared" ref="Z168" si="170">Y168/M168</f>
        <v>0.40119760479041916</v>
      </c>
      <c r="AA168" s="471"/>
      <c r="AB168" s="471"/>
      <c r="AC168" s="471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6"/>
      <c r="KZ168" s="6"/>
      <c r="LA168" s="6"/>
      <c r="LB168" s="6"/>
      <c r="LC168" s="6"/>
      <c r="LD168" s="6"/>
      <c r="LE168" s="6"/>
      <c r="LF168" s="6"/>
      <c r="LG168" s="6"/>
      <c r="LH168" s="6"/>
      <c r="LI168" s="6"/>
      <c r="LJ168" s="6"/>
      <c r="LK168" s="6"/>
      <c r="LL168" s="6"/>
      <c r="LM168" s="6"/>
      <c r="LN168" s="6"/>
      <c r="LO168" s="6"/>
      <c r="LP168" s="6"/>
      <c r="LQ168" s="6"/>
      <c r="LR168" s="6"/>
      <c r="LS168" s="6"/>
      <c r="LT168" s="6"/>
      <c r="LU168" s="6"/>
      <c r="LV168" s="6"/>
      <c r="LW168" s="6"/>
      <c r="LX168" s="6"/>
      <c r="LY168" s="6"/>
      <c r="LZ168" s="6"/>
      <c r="MA168" s="6"/>
      <c r="MB168" s="6"/>
      <c r="MC168" s="6"/>
      <c r="MD168" s="6"/>
      <c r="ME168" s="6"/>
      <c r="MF168" s="6"/>
      <c r="MG168" s="6"/>
      <c r="MH168" s="6"/>
      <c r="MI168" s="6"/>
      <c r="MJ168" s="6"/>
      <c r="MK168" s="6"/>
      <c r="ML168" s="6"/>
      <c r="MM168" s="6"/>
      <c r="MN168" s="6"/>
      <c r="MO168" s="6"/>
      <c r="MP168" s="6"/>
      <c r="MQ168" s="6"/>
      <c r="MR168" s="6"/>
      <c r="MS168" s="6"/>
      <c r="MT168" s="6"/>
      <c r="MU168" s="6"/>
      <c r="MV168" s="6"/>
      <c r="MW168" s="6"/>
      <c r="MX168" s="6"/>
      <c r="MY168" s="6"/>
      <c r="MZ168" s="6"/>
      <c r="NA168" s="6"/>
      <c r="NB168" s="6"/>
      <c r="NC168" s="6"/>
      <c r="ND168" s="6"/>
      <c r="NE168" s="6"/>
      <c r="NF168" s="6"/>
      <c r="NG168" s="6"/>
      <c r="NH168" s="6"/>
      <c r="NI168" s="6"/>
      <c r="NJ168" s="6"/>
      <c r="NK168" s="6"/>
      <c r="NL168" s="6"/>
      <c r="NM168" s="6"/>
      <c r="NN168" s="6"/>
      <c r="NO168" s="6"/>
      <c r="NP168" s="6"/>
      <c r="NQ168" s="6"/>
      <c r="NR168" s="6"/>
      <c r="NS168" s="6"/>
      <c r="NT168" s="6"/>
      <c r="NU168" s="6"/>
      <c r="NV168" s="6"/>
      <c r="NW168" s="6"/>
      <c r="NX168" s="6"/>
      <c r="NY168" s="6"/>
      <c r="NZ168" s="6"/>
      <c r="OA168" s="6"/>
      <c r="OB168" s="6"/>
      <c r="OC168" s="6"/>
      <c r="OD168" s="6"/>
      <c r="OE168" s="6"/>
      <c r="OF168" s="6"/>
      <c r="OG168" s="6"/>
      <c r="OH168" s="6"/>
      <c r="OI168" s="6"/>
      <c r="OJ168" s="6"/>
      <c r="OK168" s="6"/>
      <c r="OL168" s="6"/>
      <c r="OM168" s="6"/>
      <c r="ON168" s="6"/>
      <c r="OO168" s="6"/>
      <c r="OP168" s="6"/>
      <c r="OQ168" s="6"/>
      <c r="OR168" s="6"/>
      <c r="OS168" s="6"/>
      <c r="OT168" s="6"/>
      <c r="OU168" s="6"/>
      <c r="OV168" s="6"/>
      <c r="OW168" s="6"/>
      <c r="OX168" s="6"/>
      <c r="OY168" s="6"/>
      <c r="OZ168" s="6"/>
      <c r="PA168" s="6"/>
      <c r="PB168" s="6"/>
      <c r="PC168" s="6"/>
      <c r="PD168" s="6"/>
      <c r="PE168" s="6"/>
      <c r="PF168" s="6"/>
      <c r="PG168" s="6"/>
      <c r="PH168" s="6"/>
      <c r="PI168" s="6"/>
      <c r="PJ168" s="6"/>
      <c r="PK168" s="6"/>
      <c r="PL168" s="6"/>
      <c r="PM168" s="6"/>
      <c r="PN168" s="6"/>
      <c r="PO168" s="6"/>
      <c r="PP168" s="6"/>
      <c r="PQ168" s="6"/>
      <c r="PR168" s="6"/>
      <c r="PS168" s="6"/>
      <c r="PT168" s="6"/>
      <c r="PU168" s="6"/>
      <c r="PV168" s="6"/>
      <c r="PW168" s="6"/>
      <c r="PX168" s="6"/>
      <c r="PY168" s="6"/>
      <c r="PZ168" s="6"/>
      <c r="QA168" s="6"/>
      <c r="QB168" s="6"/>
      <c r="QC168" s="6"/>
      <c r="QD168" s="6"/>
      <c r="QE168" s="6"/>
      <c r="QF168" s="6"/>
      <c r="QG168" s="6"/>
      <c r="QH168" s="6"/>
      <c r="QI168" s="6"/>
      <c r="QJ168" s="6"/>
      <c r="QK168" s="6"/>
      <c r="QL168" s="6"/>
      <c r="QM168" s="6"/>
      <c r="QN168" s="6"/>
      <c r="QO168" s="6"/>
      <c r="QP168" s="6"/>
      <c r="QQ168" s="6"/>
      <c r="QR168" s="6"/>
      <c r="QS168" s="6"/>
      <c r="QT168" s="6"/>
      <c r="QU168" s="6"/>
      <c r="QV168" s="6"/>
      <c r="QW168" s="6"/>
      <c r="QX168" s="6"/>
      <c r="QY168" s="6"/>
      <c r="QZ168" s="6"/>
      <c r="RA168" s="6"/>
      <c r="RB168" s="6"/>
      <c r="RC168" s="6"/>
      <c r="RD168" s="6"/>
      <c r="RE168" s="6"/>
      <c r="RF168" s="6"/>
      <c r="RG168" s="6"/>
      <c r="RH168" s="6"/>
      <c r="RI168" s="6"/>
      <c r="RJ168" s="6"/>
      <c r="RK168" s="6"/>
      <c r="RL168" s="6"/>
      <c r="RM168" s="6"/>
      <c r="RN168" s="6"/>
      <c r="RO168" s="6"/>
      <c r="RP168" s="6"/>
      <c r="RQ168" s="6"/>
      <c r="RR168" s="6"/>
      <c r="RS168" s="6"/>
      <c r="RT168" s="6"/>
      <c r="RU168" s="6"/>
      <c r="RV168" s="6"/>
      <c r="RW168" s="6"/>
      <c r="RX168" s="6"/>
      <c r="RY168" s="6"/>
      <c r="RZ168" s="6"/>
      <c r="SA168" s="6"/>
      <c r="SB168" s="6"/>
      <c r="SC168" s="6"/>
      <c r="SD168" s="6"/>
      <c r="SE168" s="6"/>
      <c r="SF168" s="6"/>
      <c r="SG168" s="6"/>
      <c r="SH168" s="6"/>
      <c r="SI168" s="6"/>
      <c r="SJ168" s="6"/>
      <c r="SK168" s="6"/>
      <c r="SL168" s="6"/>
      <c r="SM168" s="6"/>
      <c r="SN168" s="6"/>
      <c r="SO168" s="6"/>
      <c r="SP168" s="6"/>
      <c r="SQ168" s="6"/>
      <c r="SR168" s="6"/>
      <c r="SS168" s="6"/>
      <c r="ST168" s="6"/>
      <c r="SU168" s="6"/>
      <c r="SV168" s="6"/>
      <c r="SW168" s="6"/>
      <c r="SX168" s="6"/>
      <c r="SY168" s="6"/>
      <c r="SZ168" s="6"/>
      <c r="TA168" s="6"/>
      <c r="TB168" s="6"/>
      <c r="TC168" s="6"/>
      <c r="TD168" s="6"/>
      <c r="TE168" s="6"/>
      <c r="TF168" s="6"/>
      <c r="TG168" s="6"/>
      <c r="TH168" s="6"/>
      <c r="TI168" s="6"/>
      <c r="TJ168" s="6"/>
      <c r="TK168" s="6"/>
      <c r="TL168" s="6"/>
      <c r="TM168" s="6"/>
      <c r="TN168" s="6"/>
      <c r="TO168" s="6"/>
      <c r="TP168" s="6"/>
      <c r="TQ168" s="6"/>
      <c r="TR168" s="6"/>
      <c r="TS168" s="6"/>
      <c r="TT168" s="6"/>
      <c r="TU168" s="6"/>
      <c r="TV168" s="6"/>
      <c r="TW168" s="6"/>
      <c r="TX168" s="6"/>
      <c r="TY168" s="6"/>
      <c r="TZ168" s="6"/>
      <c r="UA168" s="6"/>
      <c r="UB168" s="6"/>
      <c r="UC168" s="6"/>
      <c r="UD168" s="6"/>
      <c r="UE168" s="6"/>
      <c r="UF168" s="6"/>
      <c r="UG168" s="6"/>
      <c r="UH168" s="6"/>
      <c r="UI168" s="6"/>
      <c r="UJ168" s="6"/>
      <c r="UK168" s="6"/>
      <c r="UL168" s="6"/>
      <c r="UM168" s="6"/>
      <c r="UN168" s="6"/>
      <c r="UO168" s="6"/>
      <c r="UP168" s="6"/>
      <c r="UQ168" s="6"/>
      <c r="UR168" s="6"/>
      <c r="US168" s="6"/>
      <c r="UT168" s="6"/>
      <c r="UU168" s="6"/>
      <c r="UV168" s="6"/>
      <c r="UW168" s="6"/>
      <c r="UX168" s="6"/>
      <c r="UY168" s="6"/>
      <c r="UZ168" s="6"/>
      <c r="VA168" s="6"/>
      <c r="VB168" s="6"/>
      <c r="VC168" s="6"/>
      <c r="VD168" s="6"/>
      <c r="VE168" s="6"/>
      <c r="VF168" s="6"/>
      <c r="VG168" s="6"/>
      <c r="VH168" s="6"/>
      <c r="VI168" s="6"/>
      <c r="VJ168" s="6"/>
      <c r="VK168" s="6"/>
      <c r="VL168" s="6"/>
      <c r="VM168" s="6"/>
      <c r="VN168" s="6"/>
      <c r="VO168" s="6"/>
      <c r="VP168" s="6"/>
      <c r="VQ168" s="6"/>
      <c r="VR168" s="6"/>
      <c r="VS168" s="6"/>
      <c r="VT168" s="6"/>
      <c r="VU168" s="6"/>
      <c r="VV168" s="6"/>
      <c r="VW168" s="6"/>
      <c r="VX168" s="6"/>
      <c r="VY168" s="6"/>
      <c r="VZ168" s="6"/>
      <c r="WA168" s="6"/>
      <c r="WB168" s="6"/>
      <c r="WC168" s="6"/>
      <c r="WD168" s="6"/>
      <c r="WE168" s="6"/>
      <c r="WF168" s="6"/>
      <c r="WG168" s="6"/>
      <c r="WH168" s="6"/>
      <c r="WI168" s="6"/>
      <c r="WJ168" s="6"/>
      <c r="WK168" s="6"/>
      <c r="WL168" s="6"/>
      <c r="WM168" s="6"/>
      <c r="WN168" s="6"/>
      <c r="WO168" s="6"/>
      <c r="WP168" s="6"/>
      <c r="WQ168" s="6"/>
      <c r="WR168" s="6"/>
      <c r="WS168" s="6"/>
      <c r="WT168" s="6"/>
      <c r="WU168" s="6"/>
      <c r="WV168" s="6"/>
      <c r="WW168" s="6"/>
      <c r="WX168" s="6"/>
      <c r="WY168" s="6"/>
      <c r="WZ168" s="6"/>
      <c r="XA168" s="6"/>
      <c r="XB168" s="6"/>
      <c r="XC168" s="6"/>
      <c r="XD168" s="6"/>
      <c r="XE168" s="6"/>
      <c r="XF168" s="6"/>
      <c r="XG168" s="6"/>
      <c r="XH168" s="6"/>
      <c r="XI168" s="6"/>
      <c r="XJ168" s="6"/>
      <c r="XK168" s="6"/>
      <c r="XL168" s="6"/>
      <c r="XM168" s="6"/>
      <c r="XN168" s="6"/>
      <c r="XO168" s="6"/>
      <c r="XP168" s="6"/>
      <c r="XQ168" s="6"/>
      <c r="XR168" s="6"/>
      <c r="XS168" s="6"/>
      <c r="XT168" s="6"/>
      <c r="XU168" s="6"/>
      <c r="XV168" s="6"/>
      <c r="XW168" s="6"/>
      <c r="XX168" s="6"/>
      <c r="XY168" s="6"/>
      <c r="XZ168" s="6"/>
      <c r="YA168" s="6"/>
      <c r="YB168" s="6"/>
      <c r="YC168" s="6"/>
      <c r="YD168" s="6"/>
      <c r="YE168" s="6"/>
      <c r="YF168" s="6"/>
      <c r="YG168" s="6"/>
      <c r="YH168" s="6"/>
      <c r="YI168" s="6"/>
      <c r="YJ168" s="6"/>
      <c r="YK168" s="6"/>
      <c r="YL168" s="6"/>
      <c r="YM168" s="6"/>
      <c r="YN168" s="6"/>
      <c r="YO168" s="6"/>
      <c r="YP168" s="6"/>
      <c r="YQ168" s="6"/>
      <c r="YR168" s="6"/>
      <c r="YS168" s="6"/>
      <c r="YT168" s="6"/>
      <c r="YU168" s="6"/>
      <c r="YV168" s="6"/>
      <c r="YW168" s="6"/>
      <c r="YX168" s="6"/>
      <c r="YY168" s="6"/>
      <c r="YZ168" s="6"/>
      <c r="ZA168" s="6"/>
      <c r="ZB168" s="6"/>
      <c r="ZC168" s="6"/>
      <c r="ZD168" s="6"/>
      <c r="ZE168" s="6"/>
      <c r="ZF168" s="6"/>
      <c r="ZG168" s="6"/>
      <c r="ZH168" s="6"/>
      <c r="ZI168" s="6"/>
      <c r="ZJ168" s="6"/>
      <c r="ZK168" s="6"/>
      <c r="ZL168" s="6"/>
      <c r="ZM168" s="6"/>
      <c r="ZN168" s="6"/>
      <c r="ZO168" s="6"/>
      <c r="ZP168" s="6"/>
      <c r="ZQ168" s="6"/>
      <c r="ZR168" s="6"/>
      <c r="ZS168" s="6"/>
      <c r="ZT168" s="6"/>
      <c r="ZU168" s="6"/>
      <c r="ZV168" s="6"/>
      <c r="ZW168" s="6"/>
      <c r="ZX168" s="6"/>
      <c r="ZY168" s="6"/>
      <c r="ZZ168" s="6"/>
      <c r="AAA168" s="6"/>
      <c r="AAB168" s="6"/>
      <c r="AAC168" s="6"/>
      <c r="AAD168" s="6"/>
      <c r="AAE168" s="6"/>
      <c r="AAF168" s="6"/>
      <c r="AAG168" s="6"/>
      <c r="AAH168" s="6"/>
      <c r="AAI168" s="6"/>
      <c r="AAJ168" s="6"/>
      <c r="AAK168" s="6"/>
      <c r="AAL168" s="6"/>
      <c r="AAM168" s="6"/>
      <c r="AAN168" s="6"/>
      <c r="AAO168" s="6"/>
      <c r="AAP168" s="6"/>
      <c r="AAQ168" s="6"/>
      <c r="AAR168" s="6"/>
      <c r="AAS168" s="6"/>
      <c r="AAT168" s="6"/>
      <c r="AAU168" s="6"/>
      <c r="AAV168" s="6"/>
      <c r="AAW168" s="6"/>
      <c r="AAX168" s="6"/>
      <c r="AAY168" s="6"/>
      <c r="AAZ168" s="6"/>
      <c r="ABA168" s="6"/>
      <c r="ABB168" s="6"/>
      <c r="ABC168" s="6"/>
      <c r="ABD168" s="6"/>
      <c r="ABE168" s="6"/>
      <c r="ABF168" s="6"/>
      <c r="ABG168" s="6"/>
      <c r="ABH168" s="6"/>
      <c r="ABI168" s="6"/>
      <c r="ABJ168" s="6"/>
      <c r="ABK168" s="6"/>
      <c r="ABL168" s="6"/>
      <c r="ABM168" s="6"/>
      <c r="ABN168" s="6"/>
      <c r="ABO168" s="6"/>
      <c r="ABP168" s="6"/>
      <c r="ABQ168" s="6"/>
      <c r="ABR168" s="6"/>
      <c r="ABS168" s="6"/>
      <c r="ABT168" s="6"/>
      <c r="ABU168" s="6"/>
      <c r="ABV168" s="6"/>
      <c r="ABW168" s="6"/>
      <c r="ABX168" s="6"/>
      <c r="ABY168" s="6"/>
      <c r="ABZ168" s="6"/>
      <c r="ACA168" s="6"/>
      <c r="ACB168" s="6"/>
      <c r="ACC168" s="6"/>
      <c r="ACD168" s="6"/>
      <c r="ACE168" s="6"/>
      <c r="ACF168" s="6"/>
      <c r="ACG168" s="6"/>
      <c r="ACH168" s="6"/>
      <c r="ACI168" s="6"/>
      <c r="ACJ168" s="6"/>
      <c r="ACK168" s="6"/>
      <c r="ACL168" s="6"/>
      <c r="ACM168" s="6"/>
      <c r="ACN168" s="6"/>
      <c r="ACO168" s="6"/>
      <c r="ACP168" s="6"/>
      <c r="ACQ168" s="6"/>
      <c r="ACR168" s="6"/>
      <c r="ACS168" s="6"/>
      <c r="ACT168" s="6"/>
      <c r="ACU168" s="6"/>
      <c r="ACV168" s="6"/>
      <c r="ACW168" s="6"/>
      <c r="ACX168" s="6"/>
      <c r="ACY168" s="6"/>
      <c r="ACZ168" s="6"/>
      <c r="ADA168" s="6"/>
      <c r="ADB168" s="6"/>
      <c r="ADC168" s="6"/>
      <c r="ADD168" s="6"/>
      <c r="ADE168" s="6"/>
      <c r="ADF168" s="6"/>
      <c r="ADG168" s="6"/>
      <c r="ADH168" s="6"/>
      <c r="ADI168" s="6"/>
      <c r="ADJ168" s="6"/>
    </row>
    <row r="169" spans="1:790" s="291" customFormat="1" x14ac:dyDescent="0.3">
      <c r="A169" s="399"/>
      <c r="B169" s="571"/>
      <c r="C169" s="366"/>
      <c r="D169" s="367"/>
      <c r="E169" s="367"/>
      <c r="F169" s="362"/>
      <c r="G169" s="362"/>
      <c r="H169" s="362"/>
      <c r="I169" s="369"/>
      <c r="J169" s="362"/>
      <c r="K169" s="363"/>
      <c r="L169" s="370"/>
      <c r="M169" s="490"/>
      <c r="N169" s="489" t="str">
        <f t="shared" si="138"/>
        <v/>
      </c>
      <c r="O169" s="308"/>
      <c r="Q169" s="497"/>
      <c r="R169" s="481"/>
      <c r="S169" s="514"/>
      <c r="T169" s="515" t="str">
        <f t="shared" si="143"/>
        <v/>
      </c>
      <c r="U169" s="482" t="str">
        <f t="shared" si="144"/>
        <v/>
      </c>
      <c r="V169" s="514"/>
      <c r="W169" s="515" t="str">
        <f t="shared" si="145"/>
        <v/>
      </c>
      <c r="X169" s="507"/>
      <c r="Y169" s="507"/>
      <c r="Z169" s="478"/>
      <c r="AA169" s="471"/>
      <c r="AB169" s="471"/>
      <c r="AC169" s="471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6"/>
      <c r="KZ169" s="6"/>
      <c r="LA169" s="6"/>
      <c r="LB169" s="6"/>
      <c r="LC169" s="6"/>
      <c r="LD169" s="6"/>
      <c r="LE169" s="6"/>
      <c r="LF169" s="6"/>
      <c r="LG169" s="6"/>
      <c r="LH169" s="6"/>
      <c r="LI169" s="6"/>
      <c r="LJ169" s="6"/>
      <c r="LK169" s="6"/>
      <c r="LL169" s="6"/>
      <c r="LM169" s="6"/>
      <c r="LN169" s="6"/>
      <c r="LO169" s="6"/>
      <c r="LP169" s="6"/>
      <c r="LQ169" s="6"/>
      <c r="LR169" s="6"/>
      <c r="LS169" s="6"/>
      <c r="LT169" s="6"/>
      <c r="LU169" s="6"/>
      <c r="LV169" s="6"/>
      <c r="LW169" s="6"/>
      <c r="LX169" s="6"/>
      <c r="LY169" s="6"/>
      <c r="LZ169" s="6"/>
      <c r="MA169" s="6"/>
      <c r="MB169" s="6"/>
      <c r="MC169" s="6"/>
      <c r="MD169" s="6"/>
      <c r="ME169" s="6"/>
      <c r="MF169" s="6"/>
      <c r="MG169" s="6"/>
      <c r="MH169" s="6"/>
      <c r="MI169" s="6"/>
      <c r="MJ169" s="6"/>
      <c r="MK169" s="6"/>
      <c r="ML169" s="6"/>
      <c r="MM169" s="6"/>
      <c r="MN169" s="6"/>
      <c r="MO169" s="6"/>
      <c r="MP169" s="6"/>
      <c r="MQ169" s="6"/>
      <c r="MR169" s="6"/>
      <c r="MS169" s="6"/>
      <c r="MT169" s="6"/>
      <c r="MU169" s="6"/>
      <c r="MV169" s="6"/>
      <c r="MW169" s="6"/>
      <c r="MX169" s="6"/>
      <c r="MY169" s="6"/>
      <c r="MZ169" s="6"/>
      <c r="NA169" s="6"/>
      <c r="NB169" s="6"/>
      <c r="NC169" s="6"/>
      <c r="ND169" s="6"/>
      <c r="NE169" s="6"/>
      <c r="NF169" s="6"/>
      <c r="NG169" s="6"/>
      <c r="NH169" s="6"/>
      <c r="NI169" s="6"/>
      <c r="NJ169" s="6"/>
      <c r="NK169" s="6"/>
      <c r="NL169" s="6"/>
      <c r="NM169" s="6"/>
      <c r="NN169" s="6"/>
      <c r="NO169" s="6"/>
      <c r="NP169" s="6"/>
      <c r="NQ169" s="6"/>
      <c r="NR169" s="6"/>
      <c r="NS169" s="6"/>
      <c r="NT169" s="6"/>
      <c r="NU169" s="6"/>
      <c r="NV169" s="6"/>
      <c r="NW169" s="6"/>
      <c r="NX169" s="6"/>
      <c r="NY169" s="6"/>
      <c r="NZ169" s="6"/>
      <c r="OA169" s="6"/>
      <c r="OB169" s="6"/>
      <c r="OC169" s="6"/>
      <c r="OD169" s="6"/>
      <c r="OE169" s="6"/>
      <c r="OF169" s="6"/>
      <c r="OG169" s="6"/>
      <c r="OH169" s="6"/>
      <c r="OI169" s="6"/>
      <c r="OJ169" s="6"/>
      <c r="OK169" s="6"/>
      <c r="OL169" s="6"/>
      <c r="OM169" s="6"/>
      <c r="ON169" s="6"/>
      <c r="OO169" s="6"/>
      <c r="OP169" s="6"/>
      <c r="OQ169" s="6"/>
      <c r="OR169" s="6"/>
      <c r="OS169" s="6"/>
      <c r="OT169" s="6"/>
      <c r="OU169" s="6"/>
      <c r="OV169" s="6"/>
      <c r="OW169" s="6"/>
      <c r="OX169" s="6"/>
      <c r="OY169" s="6"/>
      <c r="OZ169" s="6"/>
      <c r="PA169" s="6"/>
      <c r="PB169" s="6"/>
      <c r="PC169" s="6"/>
      <c r="PD169" s="6"/>
      <c r="PE169" s="6"/>
      <c r="PF169" s="6"/>
      <c r="PG169" s="6"/>
      <c r="PH169" s="6"/>
      <c r="PI169" s="6"/>
      <c r="PJ169" s="6"/>
      <c r="PK169" s="6"/>
      <c r="PL169" s="6"/>
      <c r="PM169" s="6"/>
      <c r="PN169" s="6"/>
      <c r="PO169" s="6"/>
      <c r="PP169" s="6"/>
      <c r="PQ169" s="6"/>
      <c r="PR169" s="6"/>
      <c r="PS169" s="6"/>
      <c r="PT169" s="6"/>
      <c r="PU169" s="6"/>
      <c r="PV169" s="6"/>
      <c r="PW169" s="6"/>
      <c r="PX169" s="6"/>
      <c r="PY169" s="6"/>
      <c r="PZ169" s="6"/>
      <c r="QA169" s="6"/>
      <c r="QB169" s="6"/>
      <c r="QC169" s="6"/>
      <c r="QD169" s="6"/>
      <c r="QE169" s="6"/>
      <c r="QF169" s="6"/>
      <c r="QG169" s="6"/>
      <c r="QH169" s="6"/>
      <c r="QI169" s="6"/>
      <c r="QJ169" s="6"/>
      <c r="QK169" s="6"/>
      <c r="QL169" s="6"/>
      <c r="QM169" s="6"/>
      <c r="QN169" s="6"/>
      <c r="QO169" s="6"/>
      <c r="QP169" s="6"/>
      <c r="QQ169" s="6"/>
      <c r="QR169" s="6"/>
      <c r="QS169" s="6"/>
      <c r="QT169" s="6"/>
      <c r="QU169" s="6"/>
      <c r="QV169" s="6"/>
      <c r="QW169" s="6"/>
      <c r="QX169" s="6"/>
      <c r="QY169" s="6"/>
      <c r="QZ169" s="6"/>
      <c r="RA169" s="6"/>
      <c r="RB169" s="6"/>
      <c r="RC169" s="6"/>
      <c r="RD169" s="6"/>
      <c r="RE169" s="6"/>
      <c r="RF169" s="6"/>
      <c r="RG169" s="6"/>
      <c r="RH169" s="6"/>
      <c r="RI169" s="6"/>
      <c r="RJ169" s="6"/>
      <c r="RK169" s="6"/>
      <c r="RL169" s="6"/>
      <c r="RM169" s="6"/>
      <c r="RN169" s="6"/>
      <c r="RO169" s="6"/>
      <c r="RP169" s="6"/>
      <c r="RQ169" s="6"/>
      <c r="RR169" s="6"/>
      <c r="RS169" s="6"/>
      <c r="RT169" s="6"/>
      <c r="RU169" s="6"/>
      <c r="RV169" s="6"/>
      <c r="RW169" s="6"/>
      <c r="RX169" s="6"/>
      <c r="RY169" s="6"/>
      <c r="RZ169" s="6"/>
      <c r="SA169" s="6"/>
      <c r="SB169" s="6"/>
      <c r="SC169" s="6"/>
      <c r="SD169" s="6"/>
      <c r="SE169" s="6"/>
      <c r="SF169" s="6"/>
      <c r="SG169" s="6"/>
      <c r="SH169" s="6"/>
      <c r="SI169" s="6"/>
      <c r="SJ169" s="6"/>
      <c r="SK169" s="6"/>
      <c r="SL169" s="6"/>
      <c r="SM169" s="6"/>
      <c r="SN169" s="6"/>
      <c r="SO169" s="6"/>
      <c r="SP169" s="6"/>
      <c r="SQ169" s="6"/>
      <c r="SR169" s="6"/>
      <c r="SS169" s="6"/>
      <c r="ST169" s="6"/>
      <c r="SU169" s="6"/>
      <c r="SV169" s="6"/>
      <c r="SW169" s="6"/>
      <c r="SX169" s="6"/>
      <c r="SY169" s="6"/>
      <c r="SZ169" s="6"/>
      <c r="TA169" s="6"/>
      <c r="TB169" s="6"/>
      <c r="TC169" s="6"/>
      <c r="TD169" s="6"/>
      <c r="TE169" s="6"/>
      <c r="TF169" s="6"/>
      <c r="TG169" s="6"/>
      <c r="TH169" s="6"/>
      <c r="TI169" s="6"/>
      <c r="TJ169" s="6"/>
      <c r="TK169" s="6"/>
      <c r="TL169" s="6"/>
      <c r="TM169" s="6"/>
      <c r="TN169" s="6"/>
      <c r="TO169" s="6"/>
      <c r="TP169" s="6"/>
      <c r="TQ169" s="6"/>
      <c r="TR169" s="6"/>
      <c r="TS169" s="6"/>
      <c r="TT169" s="6"/>
      <c r="TU169" s="6"/>
      <c r="TV169" s="6"/>
      <c r="TW169" s="6"/>
      <c r="TX169" s="6"/>
      <c r="TY169" s="6"/>
      <c r="TZ169" s="6"/>
      <c r="UA169" s="6"/>
      <c r="UB169" s="6"/>
      <c r="UC169" s="6"/>
      <c r="UD169" s="6"/>
      <c r="UE169" s="6"/>
      <c r="UF169" s="6"/>
      <c r="UG169" s="6"/>
      <c r="UH169" s="6"/>
      <c r="UI169" s="6"/>
      <c r="UJ169" s="6"/>
      <c r="UK169" s="6"/>
      <c r="UL169" s="6"/>
      <c r="UM169" s="6"/>
      <c r="UN169" s="6"/>
      <c r="UO169" s="6"/>
      <c r="UP169" s="6"/>
      <c r="UQ169" s="6"/>
      <c r="UR169" s="6"/>
      <c r="US169" s="6"/>
      <c r="UT169" s="6"/>
      <c r="UU169" s="6"/>
      <c r="UV169" s="6"/>
      <c r="UW169" s="6"/>
      <c r="UX169" s="6"/>
      <c r="UY169" s="6"/>
      <c r="UZ169" s="6"/>
      <c r="VA169" s="6"/>
      <c r="VB169" s="6"/>
      <c r="VC169" s="6"/>
      <c r="VD169" s="6"/>
      <c r="VE169" s="6"/>
      <c r="VF169" s="6"/>
      <c r="VG169" s="6"/>
      <c r="VH169" s="6"/>
      <c r="VI169" s="6"/>
      <c r="VJ169" s="6"/>
      <c r="VK169" s="6"/>
      <c r="VL169" s="6"/>
      <c r="VM169" s="6"/>
      <c r="VN169" s="6"/>
      <c r="VO169" s="6"/>
      <c r="VP169" s="6"/>
      <c r="VQ169" s="6"/>
      <c r="VR169" s="6"/>
      <c r="VS169" s="6"/>
      <c r="VT169" s="6"/>
      <c r="VU169" s="6"/>
      <c r="VV169" s="6"/>
      <c r="VW169" s="6"/>
      <c r="VX169" s="6"/>
      <c r="VY169" s="6"/>
      <c r="VZ169" s="6"/>
      <c r="WA169" s="6"/>
      <c r="WB169" s="6"/>
      <c r="WC169" s="6"/>
      <c r="WD169" s="6"/>
      <c r="WE169" s="6"/>
      <c r="WF169" s="6"/>
      <c r="WG169" s="6"/>
      <c r="WH169" s="6"/>
      <c r="WI169" s="6"/>
      <c r="WJ169" s="6"/>
      <c r="WK169" s="6"/>
      <c r="WL169" s="6"/>
      <c r="WM169" s="6"/>
      <c r="WN169" s="6"/>
      <c r="WO169" s="6"/>
      <c r="WP169" s="6"/>
      <c r="WQ169" s="6"/>
      <c r="WR169" s="6"/>
      <c r="WS169" s="6"/>
      <c r="WT169" s="6"/>
      <c r="WU169" s="6"/>
      <c r="WV169" s="6"/>
      <c r="WW169" s="6"/>
      <c r="WX169" s="6"/>
      <c r="WY169" s="6"/>
      <c r="WZ169" s="6"/>
      <c r="XA169" s="6"/>
      <c r="XB169" s="6"/>
      <c r="XC169" s="6"/>
      <c r="XD169" s="6"/>
      <c r="XE169" s="6"/>
      <c r="XF169" s="6"/>
      <c r="XG169" s="6"/>
      <c r="XH169" s="6"/>
      <c r="XI169" s="6"/>
      <c r="XJ169" s="6"/>
      <c r="XK169" s="6"/>
      <c r="XL169" s="6"/>
      <c r="XM169" s="6"/>
      <c r="XN169" s="6"/>
      <c r="XO169" s="6"/>
      <c r="XP169" s="6"/>
      <c r="XQ169" s="6"/>
      <c r="XR169" s="6"/>
      <c r="XS169" s="6"/>
      <c r="XT169" s="6"/>
      <c r="XU169" s="6"/>
      <c r="XV169" s="6"/>
      <c r="XW169" s="6"/>
      <c r="XX169" s="6"/>
      <c r="XY169" s="6"/>
      <c r="XZ169" s="6"/>
      <c r="YA169" s="6"/>
      <c r="YB169" s="6"/>
      <c r="YC169" s="6"/>
      <c r="YD169" s="6"/>
      <c r="YE169" s="6"/>
      <c r="YF169" s="6"/>
      <c r="YG169" s="6"/>
      <c r="YH169" s="6"/>
      <c r="YI169" s="6"/>
      <c r="YJ169" s="6"/>
      <c r="YK169" s="6"/>
      <c r="YL169" s="6"/>
      <c r="YM169" s="6"/>
      <c r="YN169" s="6"/>
      <c r="YO169" s="6"/>
      <c r="YP169" s="6"/>
      <c r="YQ169" s="6"/>
      <c r="YR169" s="6"/>
      <c r="YS169" s="6"/>
      <c r="YT169" s="6"/>
      <c r="YU169" s="6"/>
      <c r="YV169" s="6"/>
      <c r="YW169" s="6"/>
      <c r="YX169" s="6"/>
      <c r="YY169" s="6"/>
      <c r="YZ169" s="6"/>
      <c r="ZA169" s="6"/>
      <c r="ZB169" s="6"/>
      <c r="ZC169" s="6"/>
      <c r="ZD169" s="6"/>
      <c r="ZE169" s="6"/>
      <c r="ZF169" s="6"/>
      <c r="ZG169" s="6"/>
      <c r="ZH169" s="6"/>
      <c r="ZI169" s="6"/>
      <c r="ZJ169" s="6"/>
      <c r="ZK169" s="6"/>
      <c r="ZL169" s="6"/>
      <c r="ZM169" s="6"/>
      <c r="ZN169" s="6"/>
      <c r="ZO169" s="6"/>
      <c r="ZP169" s="6"/>
      <c r="ZQ169" s="6"/>
      <c r="ZR169" s="6"/>
      <c r="ZS169" s="6"/>
      <c r="ZT169" s="6"/>
      <c r="ZU169" s="6"/>
      <c r="ZV169" s="6"/>
      <c r="ZW169" s="6"/>
      <c r="ZX169" s="6"/>
      <c r="ZY169" s="6"/>
      <c r="ZZ169" s="6"/>
      <c r="AAA169" s="6"/>
      <c r="AAB169" s="6"/>
      <c r="AAC169" s="6"/>
      <c r="AAD169" s="6"/>
      <c r="AAE169" s="6"/>
      <c r="AAF169" s="6"/>
      <c r="AAG169" s="6"/>
      <c r="AAH169" s="6"/>
      <c r="AAI169" s="6"/>
      <c r="AAJ169" s="6"/>
      <c r="AAK169" s="6"/>
      <c r="AAL169" s="6"/>
      <c r="AAM169" s="6"/>
      <c r="AAN169" s="6"/>
      <c r="AAO169" s="6"/>
      <c r="AAP169" s="6"/>
      <c r="AAQ169" s="6"/>
      <c r="AAR169" s="6"/>
      <c r="AAS169" s="6"/>
      <c r="AAT169" s="6"/>
      <c r="AAU169" s="6"/>
      <c r="AAV169" s="6"/>
      <c r="AAW169" s="6"/>
      <c r="AAX169" s="6"/>
      <c r="AAY169" s="6"/>
      <c r="AAZ169" s="6"/>
      <c r="ABA169" s="6"/>
      <c r="ABB169" s="6"/>
      <c r="ABC169" s="6"/>
      <c r="ABD169" s="6"/>
      <c r="ABE169" s="6"/>
      <c r="ABF169" s="6"/>
      <c r="ABG169" s="6"/>
      <c r="ABH169" s="6"/>
      <c r="ABI169" s="6"/>
      <c r="ABJ169" s="6"/>
      <c r="ABK169" s="6"/>
      <c r="ABL169" s="6"/>
      <c r="ABM169" s="6"/>
      <c r="ABN169" s="6"/>
      <c r="ABO169" s="6"/>
      <c r="ABP169" s="6"/>
      <c r="ABQ169" s="6"/>
      <c r="ABR169" s="6"/>
      <c r="ABS169" s="6"/>
      <c r="ABT169" s="6"/>
      <c r="ABU169" s="6"/>
      <c r="ABV169" s="6"/>
      <c r="ABW169" s="6"/>
      <c r="ABX169" s="6"/>
      <c r="ABY169" s="6"/>
      <c r="ABZ169" s="6"/>
      <c r="ACA169" s="6"/>
      <c r="ACB169" s="6"/>
      <c r="ACC169" s="6"/>
      <c r="ACD169" s="6"/>
      <c r="ACE169" s="6"/>
      <c r="ACF169" s="6"/>
      <c r="ACG169" s="6"/>
      <c r="ACH169" s="6"/>
      <c r="ACI169" s="6"/>
      <c r="ACJ169" s="6"/>
      <c r="ACK169" s="6"/>
      <c r="ACL169" s="6"/>
      <c r="ACM169" s="6"/>
      <c r="ACN169" s="6"/>
      <c r="ACO169" s="6"/>
      <c r="ACP169" s="6"/>
      <c r="ACQ169" s="6"/>
      <c r="ACR169" s="6"/>
      <c r="ACS169" s="6"/>
      <c r="ACT169" s="6"/>
      <c r="ACU169" s="6"/>
      <c r="ACV169" s="6"/>
      <c r="ACW169" s="6"/>
      <c r="ACX169" s="6"/>
      <c r="ACY169" s="6"/>
      <c r="ACZ169" s="6"/>
      <c r="ADA169" s="6"/>
      <c r="ADB169" s="6"/>
      <c r="ADC169" s="6"/>
      <c r="ADD169" s="6"/>
      <c r="ADE169" s="6"/>
      <c r="ADF169" s="6"/>
      <c r="ADG169" s="6"/>
      <c r="ADH169" s="6"/>
      <c r="ADI169" s="6"/>
      <c r="ADJ169" s="6"/>
    </row>
    <row r="170" spans="1:790" s="291" customFormat="1" x14ac:dyDescent="0.3">
      <c r="A170" s="399"/>
      <c r="B170" s="562" t="s">
        <v>115</v>
      </c>
      <c r="C170" s="366"/>
      <c r="D170" s="367"/>
      <c r="E170" s="367"/>
      <c r="F170" s="362"/>
      <c r="G170" s="362"/>
      <c r="H170" s="362"/>
      <c r="I170" s="369"/>
      <c r="J170" s="362"/>
      <c r="K170" s="363"/>
      <c r="L170" s="370"/>
      <c r="M170" s="490"/>
      <c r="N170" s="489" t="str">
        <f t="shared" si="138"/>
        <v/>
      </c>
      <c r="O170" s="308"/>
      <c r="Q170" s="497"/>
      <c r="R170" s="481"/>
      <c r="S170" s="514"/>
      <c r="T170" s="515" t="str">
        <f t="shared" si="143"/>
        <v/>
      </c>
      <c r="U170" s="482" t="str">
        <f t="shared" si="144"/>
        <v/>
      </c>
      <c r="V170" s="514"/>
      <c r="W170" s="515" t="str">
        <f t="shared" si="145"/>
        <v/>
      </c>
      <c r="X170" s="507"/>
      <c r="Y170" s="507"/>
      <c r="Z170" s="478"/>
      <c r="AA170" s="471"/>
      <c r="AB170" s="471"/>
      <c r="AC170" s="471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6"/>
      <c r="KZ170" s="6"/>
      <c r="LA170" s="6"/>
      <c r="LB170" s="6"/>
      <c r="LC170" s="6"/>
      <c r="LD170" s="6"/>
      <c r="LE170" s="6"/>
      <c r="LF170" s="6"/>
      <c r="LG170" s="6"/>
      <c r="LH170" s="6"/>
      <c r="LI170" s="6"/>
      <c r="LJ170" s="6"/>
      <c r="LK170" s="6"/>
      <c r="LL170" s="6"/>
      <c r="LM170" s="6"/>
      <c r="LN170" s="6"/>
      <c r="LO170" s="6"/>
      <c r="LP170" s="6"/>
      <c r="LQ170" s="6"/>
      <c r="LR170" s="6"/>
      <c r="LS170" s="6"/>
      <c r="LT170" s="6"/>
      <c r="LU170" s="6"/>
      <c r="LV170" s="6"/>
      <c r="LW170" s="6"/>
      <c r="LX170" s="6"/>
      <c r="LY170" s="6"/>
      <c r="LZ170" s="6"/>
      <c r="MA170" s="6"/>
      <c r="MB170" s="6"/>
      <c r="MC170" s="6"/>
      <c r="MD170" s="6"/>
      <c r="ME170" s="6"/>
      <c r="MF170" s="6"/>
      <c r="MG170" s="6"/>
      <c r="MH170" s="6"/>
      <c r="MI170" s="6"/>
      <c r="MJ170" s="6"/>
      <c r="MK170" s="6"/>
      <c r="ML170" s="6"/>
      <c r="MM170" s="6"/>
      <c r="MN170" s="6"/>
      <c r="MO170" s="6"/>
      <c r="MP170" s="6"/>
      <c r="MQ170" s="6"/>
      <c r="MR170" s="6"/>
      <c r="MS170" s="6"/>
      <c r="MT170" s="6"/>
      <c r="MU170" s="6"/>
      <c r="MV170" s="6"/>
      <c r="MW170" s="6"/>
      <c r="MX170" s="6"/>
      <c r="MY170" s="6"/>
      <c r="MZ170" s="6"/>
      <c r="NA170" s="6"/>
      <c r="NB170" s="6"/>
      <c r="NC170" s="6"/>
      <c r="ND170" s="6"/>
      <c r="NE170" s="6"/>
      <c r="NF170" s="6"/>
      <c r="NG170" s="6"/>
      <c r="NH170" s="6"/>
      <c r="NI170" s="6"/>
      <c r="NJ170" s="6"/>
      <c r="NK170" s="6"/>
      <c r="NL170" s="6"/>
      <c r="NM170" s="6"/>
      <c r="NN170" s="6"/>
      <c r="NO170" s="6"/>
      <c r="NP170" s="6"/>
      <c r="NQ170" s="6"/>
      <c r="NR170" s="6"/>
      <c r="NS170" s="6"/>
      <c r="NT170" s="6"/>
      <c r="NU170" s="6"/>
      <c r="NV170" s="6"/>
      <c r="NW170" s="6"/>
      <c r="NX170" s="6"/>
      <c r="NY170" s="6"/>
      <c r="NZ170" s="6"/>
      <c r="OA170" s="6"/>
      <c r="OB170" s="6"/>
      <c r="OC170" s="6"/>
      <c r="OD170" s="6"/>
      <c r="OE170" s="6"/>
      <c r="OF170" s="6"/>
      <c r="OG170" s="6"/>
      <c r="OH170" s="6"/>
      <c r="OI170" s="6"/>
      <c r="OJ170" s="6"/>
      <c r="OK170" s="6"/>
      <c r="OL170" s="6"/>
      <c r="OM170" s="6"/>
      <c r="ON170" s="6"/>
      <c r="OO170" s="6"/>
      <c r="OP170" s="6"/>
      <c r="OQ170" s="6"/>
      <c r="OR170" s="6"/>
      <c r="OS170" s="6"/>
      <c r="OT170" s="6"/>
      <c r="OU170" s="6"/>
      <c r="OV170" s="6"/>
      <c r="OW170" s="6"/>
      <c r="OX170" s="6"/>
      <c r="OY170" s="6"/>
      <c r="OZ170" s="6"/>
      <c r="PA170" s="6"/>
      <c r="PB170" s="6"/>
      <c r="PC170" s="6"/>
      <c r="PD170" s="6"/>
      <c r="PE170" s="6"/>
      <c r="PF170" s="6"/>
      <c r="PG170" s="6"/>
      <c r="PH170" s="6"/>
      <c r="PI170" s="6"/>
      <c r="PJ170" s="6"/>
      <c r="PK170" s="6"/>
      <c r="PL170" s="6"/>
      <c r="PM170" s="6"/>
      <c r="PN170" s="6"/>
      <c r="PO170" s="6"/>
      <c r="PP170" s="6"/>
      <c r="PQ170" s="6"/>
      <c r="PR170" s="6"/>
      <c r="PS170" s="6"/>
      <c r="PT170" s="6"/>
      <c r="PU170" s="6"/>
      <c r="PV170" s="6"/>
      <c r="PW170" s="6"/>
      <c r="PX170" s="6"/>
      <c r="PY170" s="6"/>
      <c r="PZ170" s="6"/>
      <c r="QA170" s="6"/>
      <c r="QB170" s="6"/>
      <c r="QC170" s="6"/>
      <c r="QD170" s="6"/>
      <c r="QE170" s="6"/>
      <c r="QF170" s="6"/>
      <c r="QG170" s="6"/>
      <c r="QH170" s="6"/>
      <c r="QI170" s="6"/>
      <c r="QJ170" s="6"/>
      <c r="QK170" s="6"/>
      <c r="QL170" s="6"/>
      <c r="QM170" s="6"/>
      <c r="QN170" s="6"/>
      <c r="QO170" s="6"/>
      <c r="QP170" s="6"/>
      <c r="QQ170" s="6"/>
      <c r="QR170" s="6"/>
      <c r="QS170" s="6"/>
      <c r="QT170" s="6"/>
      <c r="QU170" s="6"/>
      <c r="QV170" s="6"/>
      <c r="QW170" s="6"/>
      <c r="QX170" s="6"/>
      <c r="QY170" s="6"/>
      <c r="QZ170" s="6"/>
      <c r="RA170" s="6"/>
      <c r="RB170" s="6"/>
      <c r="RC170" s="6"/>
      <c r="RD170" s="6"/>
      <c r="RE170" s="6"/>
      <c r="RF170" s="6"/>
      <c r="RG170" s="6"/>
      <c r="RH170" s="6"/>
      <c r="RI170" s="6"/>
      <c r="RJ170" s="6"/>
      <c r="RK170" s="6"/>
      <c r="RL170" s="6"/>
      <c r="RM170" s="6"/>
      <c r="RN170" s="6"/>
      <c r="RO170" s="6"/>
      <c r="RP170" s="6"/>
      <c r="RQ170" s="6"/>
      <c r="RR170" s="6"/>
      <c r="RS170" s="6"/>
      <c r="RT170" s="6"/>
      <c r="RU170" s="6"/>
      <c r="RV170" s="6"/>
      <c r="RW170" s="6"/>
      <c r="RX170" s="6"/>
      <c r="RY170" s="6"/>
      <c r="RZ170" s="6"/>
      <c r="SA170" s="6"/>
      <c r="SB170" s="6"/>
      <c r="SC170" s="6"/>
      <c r="SD170" s="6"/>
      <c r="SE170" s="6"/>
      <c r="SF170" s="6"/>
      <c r="SG170" s="6"/>
      <c r="SH170" s="6"/>
      <c r="SI170" s="6"/>
      <c r="SJ170" s="6"/>
      <c r="SK170" s="6"/>
      <c r="SL170" s="6"/>
      <c r="SM170" s="6"/>
      <c r="SN170" s="6"/>
      <c r="SO170" s="6"/>
      <c r="SP170" s="6"/>
      <c r="SQ170" s="6"/>
      <c r="SR170" s="6"/>
      <c r="SS170" s="6"/>
      <c r="ST170" s="6"/>
      <c r="SU170" s="6"/>
      <c r="SV170" s="6"/>
      <c r="SW170" s="6"/>
      <c r="SX170" s="6"/>
      <c r="SY170" s="6"/>
      <c r="SZ170" s="6"/>
      <c r="TA170" s="6"/>
      <c r="TB170" s="6"/>
      <c r="TC170" s="6"/>
      <c r="TD170" s="6"/>
      <c r="TE170" s="6"/>
      <c r="TF170" s="6"/>
      <c r="TG170" s="6"/>
      <c r="TH170" s="6"/>
      <c r="TI170" s="6"/>
      <c r="TJ170" s="6"/>
      <c r="TK170" s="6"/>
      <c r="TL170" s="6"/>
      <c r="TM170" s="6"/>
      <c r="TN170" s="6"/>
      <c r="TO170" s="6"/>
      <c r="TP170" s="6"/>
      <c r="TQ170" s="6"/>
      <c r="TR170" s="6"/>
      <c r="TS170" s="6"/>
      <c r="TT170" s="6"/>
      <c r="TU170" s="6"/>
      <c r="TV170" s="6"/>
      <c r="TW170" s="6"/>
      <c r="TX170" s="6"/>
      <c r="TY170" s="6"/>
      <c r="TZ170" s="6"/>
      <c r="UA170" s="6"/>
      <c r="UB170" s="6"/>
      <c r="UC170" s="6"/>
      <c r="UD170" s="6"/>
      <c r="UE170" s="6"/>
      <c r="UF170" s="6"/>
      <c r="UG170" s="6"/>
      <c r="UH170" s="6"/>
      <c r="UI170" s="6"/>
      <c r="UJ170" s="6"/>
      <c r="UK170" s="6"/>
      <c r="UL170" s="6"/>
      <c r="UM170" s="6"/>
      <c r="UN170" s="6"/>
      <c r="UO170" s="6"/>
      <c r="UP170" s="6"/>
      <c r="UQ170" s="6"/>
      <c r="UR170" s="6"/>
      <c r="US170" s="6"/>
      <c r="UT170" s="6"/>
      <c r="UU170" s="6"/>
      <c r="UV170" s="6"/>
      <c r="UW170" s="6"/>
      <c r="UX170" s="6"/>
      <c r="UY170" s="6"/>
      <c r="UZ170" s="6"/>
      <c r="VA170" s="6"/>
      <c r="VB170" s="6"/>
      <c r="VC170" s="6"/>
      <c r="VD170" s="6"/>
      <c r="VE170" s="6"/>
      <c r="VF170" s="6"/>
      <c r="VG170" s="6"/>
      <c r="VH170" s="6"/>
      <c r="VI170" s="6"/>
      <c r="VJ170" s="6"/>
      <c r="VK170" s="6"/>
      <c r="VL170" s="6"/>
      <c r="VM170" s="6"/>
      <c r="VN170" s="6"/>
      <c r="VO170" s="6"/>
      <c r="VP170" s="6"/>
      <c r="VQ170" s="6"/>
      <c r="VR170" s="6"/>
      <c r="VS170" s="6"/>
      <c r="VT170" s="6"/>
      <c r="VU170" s="6"/>
      <c r="VV170" s="6"/>
      <c r="VW170" s="6"/>
      <c r="VX170" s="6"/>
      <c r="VY170" s="6"/>
      <c r="VZ170" s="6"/>
      <c r="WA170" s="6"/>
      <c r="WB170" s="6"/>
      <c r="WC170" s="6"/>
      <c r="WD170" s="6"/>
      <c r="WE170" s="6"/>
      <c r="WF170" s="6"/>
      <c r="WG170" s="6"/>
      <c r="WH170" s="6"/>
      <c r="WI170" s="6"/>
      <c r="WJ170" s="6"/>
      <c r="WK170" s="6"/>
      <c r="WL170" s="6"/>
      <c r="WM170" s="6"/>
      <c r="WN170" s="6"/>
      <c r="WO170" s="6"/>
      <c r="WP170" s="6"/>
      <c r="WQ170" s="6"/>
      <c r="WR170" s="6"/>
      <c r="WS170" s="6"/>
      <c r="WT170" s="6"/>
      <c r="WU170" s="6"/>
      <c r="WV170" s="6"/>
      <c r="WW170" s="6"/>
      <c r="WX170" s="6"/>
      <c r="WY170" s="6"/>
      <c r="WZ170" s="6"/>
      <c r="XA170" s="6"/>
      <c r="XB170" s="6"/>
      <c r="XC170" s="6"/>
      <c r="XD170" s="6"/>
      <c r="XE170" s="6"/>
      <c r="XF170" s="6"/>
      <c r="XG170" s="6"/>
      <c r="XH170" s="6"/>
      <c r="XI170" s="6"/>
      <c r="XJ170" s="6"/>
      <c r="XK170" s="6"/>
      <c r="XL170" s="6"/>
      <c r="XM170" s="6"/>
      <c r="XN170" s="6"/>
      <c r="XO170" s="6"/>
      <c r="XP170" s="6"/>
      <c r="XQ170" s="6"/>
      <c r="XR170" s="6"/>
      <c r="XS170" s="6"/>
      <c r="XT170" s="6"/>
      <c r="XU170" s="6"/>
      <c r="XV170" s="6"/>
      <c r="XW170" s="6"/>
      <c r="XX170" s="6"/>
      <c r="XY170" s="6"/>
      <c r="XZ170" s="6"/>
      <c r="YA170" s="6"/>
      <c r="YB170" s="6"/>
      <c r="YC170" s="6"/>
      <c r="YD170" s="6"/>
      <c r="YE170" s="6"/>
      <c r="YF170" s="6"/>
      <c r="YG170" s="6"/>
      <c r="YH170" s="6"/>
      <c r="YI170" s="6"/>
      <c r="YJ170" s="6"/>
      <c r="YK170" s="6"/>
      <c r="YL170" s="6"/>
      <c r="YM170" s="6"/>
      <c r="YN170" s="6"/>
      <c r="YO170" s="6"/>
      <c r="YP170" s="6"/>
      <c r="YQ170" s="6"/>
      <c r="YR170" s="6"/>
      <c r="YS170" s="6"/>
      <c r="YT170" s="6"/>
      <c r="YU170" s="6"/>
      <c r="YV170" s="6"/>
      <c r="YW170" s="6"/>
      <c r="YX170" s="6"/>
      <c r="YY170" s="6"/>
      <c r="YZ170" s="6"/>
      <c r="ZA170" s="6"/>
      <c r="ZB170" s="6"/>
      <c r="ZC170" s="6"/>
      <c r="ZD170" s="6"/>
      <c r="ZE170" s="6"/>
      <c r="ZF170" s="6"/>
      <c r="ZG170" s="6"/>
      <c r="ZH170" s="6"/>
      <c r="ZI170" s="6"/>
      <c r="ZJ170" s="6"/>
      <c r="ZK170" s="6"/>
      <c r="ZL170" s="6"/>
      <c r="ZM170" s="6"/>
      <c r="ZN170" s="6"/>
      <c r="ZO170" s="6"/>
      <c r="ZP170" s="6"/>
      <c r="ZQ170" s="6"/>
      <c r="ZR170" s="6"/>
      <c r="ZS170" s="6"/>
      <c r="ZT170" s="6"/>
      <c r="ZU170" s="6"/>
      <c r="ZV170" s="6"/>
      <c r="ZW170" s="6"/>
      <c r="ZX170" s="6"/>
      <c r="ZY170" s="6"/>
      <c r="ZZ170" s="6"/>
      <c r="AAA170" s="6"/>
      <c r="AAB170" s="6"/>
      <c r="AAC170" s="6"/>
      <c r="AAD170" s="6"/>
      <c r="AAE170" s="6"/>
      <c r="AAF170" s="6"/>
      <c r="AAG170" s="6"/>
      <c r="AAH170" s="6"/>
      <c r="AAI170" s="6"/>
      <c r="AAJ170" s="6"/>
      <c r="AAK170" s="6"/>
      <c r="AAL170" s="6"/>
      <c r="AAM170" s="6"/>
      <c r="AAN170" s="6"/>
      <c r="AAO170" s="6"/>
      <c r="AAP170" s="6"/>
      <c r="AAQ170" s="6"/>
      <c r="AAR170" s="6"/>
      <c r="AAS170" s="6"/>
      <c r="AAT170" s="6"/>
      <c r="AAU170" s="6"/>
      <c r="AAV170" s="6"/>
      <c r="AAW170" s="6"/>
      <c r="AAX170" s="6"/>
      <c r="AAY170" s="6"/>
      <c r="AAZ170" s="6"/>
      <c r="ABA170" s="6"/>
      <c r="ABB170" s="6"/>
      <c r="ABC170" s="6"/>
      <c r="ABD170" s="6"/>
      <c r="ABE170" s="6"/>
      <c r="ABF170" s="6"/>
      <c r="ABG170" s="6"/>
      <c r="ABH170" s="6"/>
      <c r="ABI170" s="6"/>
      <c r="ABJ170" s="6"/>
      <c r="ABK170" s="6"/>
      <c r="ABL170" s="6"/>
      <c r="ABM170" s="6"/>
      <c r="ABN170" s="6"/>
      <c r="ABO170" s="6"/>
      <c r="ABP170" s="6"/>
      <c r="ABQ170" s="6"/>
      <c r="ABR170" s="6"/>
      <c r="ABS170" s="6"/>
      <c r="ABT170" s="6"/>
      <c r="ABU170" s="6"/>
      <c r="ABV170" s="6"/>
      <c r="ABW170" s="6"/>
      <c r="ABX170" s="6"/>
      <c r="ABY170" s="6"/>
      <c r="ABZ170" s="6"/>
      <c r="ACA170" s="6"/>
      <c r="ACB170" s="6"/>
      <c r="ACC170" s="6"/>
      <c r="ACD170" s="6"/>
      <c r="ACE170" s="6"/>
      <c r="ACF170" s="6"/>
      <c r="ACG170" s="6"/>
      <c r="ACH170" s="6"/>
      <c r="ACI170" s="6"/>
      <c r="ACJ170" s="6"/>
      <c r="ACK170" s="6"/>
      <c r="ACL170" s="6"/>
      <c r="ACM170" s="6"/>
      <c r="ACN170" s="6"/>
      <c r="ACO170" s="6"/>
      <c r="ACP170" s="6"/>
      <c r="ACQ170" s="6"/>
      <c r="ACR170" s="6"/>
      <c r="ACS170" s="6"/>
      <c r="ACT170" s="6"/>
      <c r="ACU170" s="6"/>
      <c r="ACV170" s="6"/>
      <c r="ACW170" s="6"/>
      <c r="ACX170" s="6"/>
      <c r="ACY170" s="6"/>
      <c r="ACZ170" s="6"/>
      <c r="ADA170" s="6"/>
      <c r="ADB170" s="6"/>
      <c r="ADC170" s="6"/>
      <c r="ADD170" s="6"/>
      <c r="ADE170" s="6"/>
      <c r="ADF170" s="6"/>
      <c r="ADG170" s="6"/>
      <c r="ADH170" s="6"/>
      <c r="ADI170" s="6"/>
      <c r="ADJ170" s="6"/>
    </row>
    <row r="171" spans="1:790" s="291" customFormat="1" x14ac:dyDescent="0.3">
      <c r="A171" s="399"/>
      <c r="B171" s="430"/>
      <c r="C171" s="366"/>
      <c r="D171" s="367"/>
      <c r="E171" s="367"/>
      <c r="F171" s="362"/>
      <c r="G171" s="362"/>
      <c r="H171" s="362"/>
      <c r="I171" s="369"/>
      <c r="J171" s="362"/>
      <c r="K171" s="363"/>
      <c r="L171" s="370"/>
      <c r="M171" s="490"/>
      <c r="N171" s="489" t="str">
        <f t="shared" si="138"/>
        <v/>
      </c>
      <c r="O171" s="308"/>
      <c r="Q171" s="497"/>
      <c r="R171" s="481"/>
      <c r="S171" s="514"/>
      <c r="T171" s="515" t="str">
        <f t="shared" si="143"/>
        <v/>
      </c>
      <c r="U171" s="482" t="str">
        <f t="shared" si="144"/>
        <v/>
      </c>
      <c r="V171" s="514"/>
      <c r="W171" s="515" t="str">
        <f t="shared" si="145"/>
        <v/>
      </c>
      <c r="X171" s="507"/>
      <c r="Y171" s="507"/>
      <c r="Z171" s="478"/>
      <c r="AA171" s="471"/>
      <c r="AB171" s="471"/>
      <c r="AC171" s="471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6"/>
      <c r="IQ171" s="6"/>
      <c r="IR171" s="6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6"/>
      <c r="KZ171" s="6"/>
      <c r="LA171" s="6"/>
      <c r="LB171" s="6"/>
      <c r="LC171" s="6"/>
      <c r="LD171" s="6"/>
      <c r="LE171" s="6"/>
      <c r="LF171" s="6"/>
      <c r="LG171" s="6"/>
      <c r="LH171" s="6"/>
      <c r="LI171" s="6"/>
      <c r="LJ171" s="6"/>
      <c r="LK171" s="6"/>
      <c r="LL171" s="6"/>
      <c r="LM171" s="6"/>
      <c r="LN171" s="6"/>
      <c r="LO171" s="6"/>
      <c r="LP171" s="6"/>
      <c r="LQ171" s="6"/>
      <c r="LR171" s="6"/>
      <c r="LS171" s="6"/>
      <c r="LT171" s="6"/>
      <c r="LU171" s="6"/>
      <c r="LV171" s="6"/>
      <c r="LW171" s="6"/>
      <c r="LX171" s="6"/>
      <c r="LY171" s="6"/>
      <c r="LZ171" s="6"/>
      <c r="MA171" s="6"/>
      <c r="MB171" s="6"/>
      <c r="MC171" s="6"/>
      <c r="MD171" s="6"/>
      <c r="ME171" s="6"/>
      <c r="MF171" s="6"/>
      <c r="MG171" s="6"/>
      <c r="MH171" s="6"/>
      <c r="MI171" s="6"/>
      <c r="MJ171" s="6"/>
      <c r="MK171" s="6"/>
      <c r="ML171" s="6"/>
      <c r="MM171" s="6"/>
      <c r="MN171" s="6"/>
      <c r="MO171" s="6"/>
      <c r="MP171" s="6"/>
      <c r="MQ171" s="6"/>
      <c r="MR171" s="6"/>
      <c r="MS171" s="6"/>
      <c r="MT171" s="6"/>
      <c r="MU171" s="6"/>
      <c r="MV171" s="6"/>
      <c r="MW171" s="6"/>
      <c r="MX171" s="6"/>
      <c r="MY171" s="6"/>
      <c r="MZ171" s="6"/>
      <c r="NA171" s="6"/>
      <c r="NB171" s="6"/>
      <c r="NC171" s="6"/>
      <c r="ND171" s="6"/>
      <c r="NE171" s="6"/>
      <c r="NF171" s="6"/>
      <c r="NG171" s="6"/>
      <c r="NH171" s="6"/>
      <c r="NI171" s="6"/>
      <c r="NJ171" s="6"/>
      <c r="NK171" s="6"/>
      <c r="NL171" s="6"/>
      <c r="NM171" s="6"/>
      <c r="NN171" s="6"/>
      <c r="NO171" s="6"/>
      <c r="NP171" s="6"/>
      <c r="NQ171" s="6"/>
      <c r="NR171" s="6"/>
      <c r="NS171" s="6"/>
      <c r="NT171" s="6"/>
      <c r="NU171" s="6"/>
      <c r="NV171" s="6"/>
      <c r="NW171" s="6"/>
      <c r="NX171" s="6"/>
      <c r="NY171" s="6"/>
      <c r="NZ171" s="6"/>
      <c r="OA171" s="6"/>
      <c r="OB171" s="6"/>
      <c r="OC171" s="6"/>
      <c r="OD171" s="6"/>
      <c r="OE171" s="6"/>
      <c r="OF171" s="6"/>
      <c r="OG171" s="6"/>
      <c r="OH171" s="6"/>
      <c r="OI171" s="6"/>
      <c r="OJ171" s="6"/>
      <c r="OK171" s="6"/>
      <c r="OL171" s="6"/>
      <c r="OM171" s="6"/>
      <c r="ON171" s="6"/>
      <c r="OO171" s="6"/>
      <c r="OP171" s="6"/>
      <c r="OQ171" s="6"/>
      <c r="OR171" s="6"/>
      <c r="OS171" s="6"/>
      <c r="OT171" s="6"/>
      <c r="OU171" s="6"/>
      <c r="OV171" s="6"/>
      <c r="OW171" s="6"/>
      <c r="OX171" s="6"/>
      <c r="OY171" s="6"/>
      <c r="OZ171" s="6"/>
      <c r="PA171" s="6"/>
      <c r="PB171" s="6"/>
      <c r="PC171" s="6"/>
      <c r="PD171" s="6"/>
      <c r="PE171" s="6"/>
      <c r="PF171" s="6"/>
      <c r="PG171" s="6"/>
      <c r="PH171" s="6"/>
      <c r="PI171" s="6"/>
      <c r="PJ171" s="6"/>
      <c r="PK171" s="6"/>
      <c r="PL171" s="6"/>
      <c r="PM171" s="6"/>
      <c r="PN171" s="6"/>
      <c r="PO171" s="6"/>
      <c r="PP171" s="6"/>
      <c r="PQ171" s="6"/>
      <c r="PR171" s="6"/>
      <c r="PS171" s="6"/>
      <c r="PT171" s="6"/>
      <c r="PU171" s="6"/>
      <c r="PV171" s="6"/>
      <c r="PW171" s="6"/>
      <c r="PX171" s="6"/>
      <c r="PY171" s="6"/>
      <c r="PZ171" s="6"/>
      <c r="QA171" s="6"/>
      <c r="QB171" s="6"/>
      <c r="QC171" s="6"/>
      <c r="QD171" s="6"/>
      <c r="QE171" s="6"/>
      <c r="QF171" s="6"/>
      <c r="QG171" s="6"/>
      <c r="QH171" s="6"/>
      <c r="QI171" s="6"/>
      <c r="QJ171" s="6"/>
      <c r="QK171" s="6"/>
      <c r="QL171" s="6"/>
      <c r="QM171" s="6"/>
      <c r="QN171" s="6"/>
      <c r="QO171" s="6"/>
      <c r="QP171" s="6"/>
      <c r="QQ171" s="6"/>
      <c r="QR171" s="6"/>
      <c r="QS171" s="6"/>
      <c r="QT171" s="6"/>
      <c r="QU171" s="6"/>
      <c r="QV171" s="6"/>
      <c r="QW171" s="6"/>
      <c r="QX171" s="6"/>
      <c r="QY171" s="6"/>
      <c r="QZ171" s="6"/>
      <c r="RA171" s="6"/>
      <c r="RB171" s="6"/>
      <c r="RC171" s="6"/>
      <c r="RD171" s="6"/>
      <c r="RE171" s="6"/>
      <c r="RF171" s="6"/>
      <c r="RG171" s="6"/>
      <c r="RH171" s="6"/>
      <c r="RI171" s="6"/>
      <c r="RJ171" s="6"/>
      <c r="RK171" s="6"/>
      <c r="RL171" s="6"/>
      <c r="RM171" s="6"/>
      <c r="RN171" s="6"/>
      <c r="RO171" s="6"/>
      <c r="RP171" s="6"/>
      <c r="RQ171" s="6"/>
      <c r="RR171" s="6"/>
      <c r="RS171" s="6"/>
      <c r="RT171" s="6"/>
      <c r="RU171" s="6"/>
      <c r="RV171" s="6"/>
      <c r="RW171" s="6"/>
      <c r="RX171" s="6"/>
      <c r="RY171" s="6"/>
      <c r="RZ171" s="6"/>
      <c r="SA171" s="6"/>
      <c r="SB171" s="6"/>
      <c r="SC171" s="6"/>
      <c r="SD171" s="6"/>
      <c r="SE171" s="6"/>
      <c r="SF171" s="6"/>
      <c r="SG171" s="6"/>
      <c r="SH171" s="6"/>
      <c r="SI171" s="6"/>
      <c r="SJ171" s="6"/>
      <c r="SK171" s="6"/>
      <c r="SL171" s="6"/>
      <c r="SM171" s="6"/>
      <c r="SN171" s="6"/>
      <c r="SO171" s="6"/>
      <c r="SP171" s="6"/>
      <c r="SQ171" s="6"/>
      <c r="SR171" s="6"/>
      <c r="SS171" s="6"/>
      <c r="ST171" s="6"/>
      <c r="SU171" s="6"/>
      <c r="SV171" s="6"/>
      <c r="SW171" s="6"/>
      <c r="SX171" s="6"/>
      <c r="SY171" s="6"/>
      <c r="SZ171" s="6"/>
      <c r="TA171" s="6"/>
      <c r="TB171" s="6"/>
      <c r="TC171" s="6"/>
      <c r="TD171" s="6"/>
      <c r="TE171" s="6"/>
      <c r="TF171" s="6"/>
      <c r="TG171" s="6"/>
      <c r="TH171" s="6"/>
      <c r="TI171" s="6"/>
      <c r="TJ171" s="6"/>
      <c r="TK171" s="6"/>
      <c r="TL171" s="6"/>
      <c r="TM171" s="6"/>
      <c r="TN171" s="6"/>
      <c r="TO171" s="6"/>
      <c r="TP171" s="6"/>
      <c r="TQ171" s="6"/>
      <c r="TR171" s="6"/>
      <c r="TS171" s="6"/>
      <c r="TT171" s="6"/>
      <c r="TU171" s="6"/>
      <c r="TV171" s="6"/>
      <c r="TW171" s="6"/>
      <c r="TX171" s="6"/>
      <c r="TY171" s="6"/>
      <c r="TZ171" s="6"/>
      <c r="UA171" s="6"/>
      <c r="UB171" s="6"/>
      <c r="UC171" s="6"/>
      <c r="UD171" s="6"/>
      <c r="UE171" s="6"/>
      <c r="UF171" s="6"/>
      <c r="UG171" s="6"/>
      <c r="UH171" s="6"/>
      <c r="UI171" s="6"/>
      <c r="UJ171" s="6"/>
      <c r="UK171" s="6"/>
      <c r="UL171" s="6"/>
      <c r="UM171" s="6"/>
      <c r="UN171" s="6"/>
      <c r="UO171" s="6"/>
      <c r="UP171" s="6"/>
      <c r="UQ171" s="6"/>
      <c r="UR171" s="6"/>
      <c r="US171" s="6"/>
      <c r="UT171" s="6"/>
      <c r="UU171" s="6"/>
      <c r="UV171" s="6"/>
      <c r="UW171" s="6"/>
      <c r="UX171" s="6"/>
      <c r="UY171" s="6"/>
      <c r="UZ171" s="6"/>
      <c r="VA171" s="6"/>
      <c r="VB171" s="6"/>
      <c r="VC171" s="6"/>
      <c r="VD171" s="6"/>
      <c r="VE171" s="6"/>
      <c r="VF171" s="6"/>
      <c r="VG171" s="6"/>
      <c r="VH171" s="6"/>
      <c r="VI171" s="6"/>
      <c r="VJ171" s="6"/>
      <c r="VK171" s="6"/>
      <c r="VL171" s="6"/>
      <c r="VM171" s="6"/>
      <c r="VN171" s="6"/>
      <c r="VO171" s="6"/>
      <c r="VP171" s="6"/>
      <c r="VQ171" s="6"/>
      <c r="VR171" s="6"/>
      <c r="VS171" s="6"/>
      <c r="VT171" s="6"/>
      <c r="VU171" s="6"/>
      <c r="VV171" s="6"/>
      <c r="VW171" s="6"/>
      <c r="VX171" s="6"/>
      <c r="VY171" s="6"/>
      <c r="VZ171" s="6"/>
      <c r="WA171" s="6"/>
      <c r="WB171" s="6"/>
      <c r="WC171" s="6"/>
      <c r="WD171" s="6"/>
      <c r="WE171" s="6"/>
      <c r="WF171" s="6"/>
      <c r="WG171" s="6"/>
      <c r="WH171" s="6"/>
      <c r="WI171" s="6"/>
      <c r="WJ171" s="6"/>
      <c r="WK171" s="6"/>
      <c r="WL171" s="6"/>
      <c r="WM171" s="6"/>
      <c r="WN171" s="6"/>
      <c r="WO171" s="6"/>
      <c r="WP171" s="6"/>
      <c r="WQ171" s="6"/>
      <c r="WR171" s="6"/>
      <c r="WS171" s="6"/>
      <c r="WT171" s="6"/>
      <c r="WU171" s="6"/>
      <c r="WV171" s="6"/>
      <c r="WW171" s="6"/>
      <c r="WX171" s="6"/>
      <c r="WY171" s="6"/>
      <c r="WZ171" s="6"/>
      <c r="XA171" s="6"/>
      <c r="XB171" s="6"/>
      <c r="XC171" s="6"/>
      <c r="XD171" s="6"/>
      <c r="XE171" s="6"/>
      <c r="XF171" s="6"/>
      <c r="XG171" s="6"/>
      <c r="XH171" s="6"/>
      <c r="XI171" s="6"/>
      <c r="XJ171" s="6"/>
      <c r="XK171" s="6"/>
      <c r="XL171" s="6"/>
      <c r="XM171" s="6"/>
      <c r="XN171" s="6"/>
      <c r="XO171" s="6"/>
      <c r="XP171" s="6"/>
      <c r="XQ171" s="6"/>
      <c r="XR171" s="6"/>
      <c r="XS171" s="6"/>
      <c r="XT171" s="6"/>
      <c r="XU171" s="6"/>
      <c r="XV171" s="6"/>
      <c r="XW171" s="6"/>
      <c r="XX171" s="6"/>
      <c r="XY171" s="6"/>
      <c r="XZ171" s="6"/>
      <c r="YA171" s="6"/>
      <c r="YB171" s="6"/>
      <c r="YC171" s="6"/>
      <c r="YD171" s="6"/>
      <c r="YE171" s="6"/>
      <c r="YF171" s="6"/>
      <c r="YG171" s="6"/>
      <c r="YH171" s="6"/>
      <c r="YI171" s="6"/>
      <c r="YJ171" s="6"/>
      <c r="YK171" s="6"/>
      <c r="YL171" s="6"/>
      <c r="YM171" s="6"/>
      <c r="YN171" s="6"/>
      <c r="YO171" s="6"/>
      <c r="YP171" s="6"/>
      <c r="YQ171" s="6"/>
      <c r="YR171" s="6"/>
      <c r="YS171" s="6"/>
      <c r="YT171" s="6"/>
      <c r="YU171" s="6"/>
      <c r="YV171" s="6"/>
      <c r="YW171" s="6"/>
      <c r="YX171" s="6"/>
      <c r="YY171" s="6"/>
      <c r="YZ171" s="6"/>
      <c r="ZA171" s="6"/>
      <c r="ZB171" s="6"/>
      <c r="ZC171" s="6"/>
      <c r="ZD171" s="6"/>
      <c r="ZE171" s="6"/>
      <c r="ZF171" s="6"/>
      <c r="ZG171" s="6"/>
      <c r="ZH171" s="6"/>
      <c r="ZI171" s="6"/>
      <c r="ZJ171" s="6"/>
      <c r="ZK171" s="6"/>
      <c r="ZL171" s="6"/>
      <c r="ZM171" s="6"/>
      <c r="ZN171" s="6"/>
      <c r="ZO171" s="6"/>
      <c r="ZP171" s="6"/>
      <c r="ZQ171" s="6"/>
      <c r="ZR171" s="6"/>
      <c r="ZS171" s="6"/>
      <c r="ZT171" s="6"/>
      <c r="ZU171" s="6"/>
      <c r="ZV171" s="6"/>
      <c r="ZW171" s="6"/>
      <c r="ZX171" s="6"/>
      <c r="ZY171" s="6"/>
      <c r="ZZ171" s="6"/>
      <c r="AAA171" s="6"/>
      <c r="AAB171" s="6"/>
      <c r="AAC171" s="6"/>
      <c r="AAD171" s="6"/>
      <c r="AAE171" s="6"/>
      <c r="AAF171" s="6"/>
      <c r="AAG171" s="6"/>
      <c r="AAH171" s="6"/>
      <c r="AAI171" s="6"/>
      <c r="AAJ171" s="6"/>
      <c r="AAK171" s="6"/>
      <c r="AAL171" s="6"/>
      <c r="AAM171" s="6"/>
      <c r="AAN171" s="6"/>
      <c r="AAO171" s="6"/>
      <c r="AAP171" s="6"/>
      <c r="AAQ171" s="6"/>
      <c r="AAR171" s="6"/>
      <c r="AAS171" s="6"/>
      <c r="AAT171" s="6"/>
      <c r="AAU171" s="6"/>
      <c r="AAV171" s="6"/>
      <c r="AAW171" s="6"/>
      <c r="AAX171" s="6"/>
      <c r="AAY171" s="6"/>
      <c r="AAZ171" s="6"/>
      <c r="ABA171" s="6"/>
      <c r="ABB171" s="6"/>
      <c r="ABC171" s="6"/>
      <c r="ABD171" s="6"/>
      <c r="ABE171" s="6"/>
      <c r="ABF171" s="6"/>
      <c r="ABG171" s="6"/>
      <c r="ABH171" s="6"/>
      <c r="ABI171" s="6"/>
      <c r="ABJ171" s="6"/>
      <c r="ABK171" s="6"/>
      <c r="ABL171" s="6"/>
      <c r="ABM171" s="6"/>
      <c r="ABN171" s="6"/>
      <c r="ABO171" s="6"/>
      <c r="ABP171" s="6"/>
      <c r="ABQ171" s="6"/>
      <c r="ABR171" s="6"/>
      <c r="ABS171" s="6"/>
      <c r="ABT171" s="6"/>
      <c r="ABU171" s="6"/>
      <c r="ABV171" s="6"/>
      <c r="ABW171" s="6"/>
      <c r="ABX171" s="6"/>
      <c r="ABY171" s="6"/>
      <c r="ABZ171" s="6"/>
      <c r="ACA171" s="6"/>
      <c r="ACB171" s="6"/>
      <c r="ACC171" s="6"/>
      <c r="ACD171" s="6"/>
      <c r="ACE171" s="6"/>
      <c r="ACF171" s="6"/>
      <c r="ACG171" s="6"/>
      <c r="ACH171" s="6"/>
      <c r="ACI171" s="6"/>
      <c r="ACJ171" s="6"/>
      <c r="ACK171" s="6"/>
      <c r="ACL171" s="6"/>
      <c r="ACM171" s="6"/>
      <c r="ACN171" s="6"/>
      <c r="ACO171" s="6"/>
      <c r="ACP171" s="6"/>
      <c r="ACQ171" s="6"/>
      <c r="ACR171" s="6"/>
      <c r="ACS171" s="6"/>
      <c r="ACT171" s="6"/>
      <c r="ACU171" s="6"/>
      <c r="ACV171" s="6"/>
      <c r="ACW171" s="6"/>
      <c r="ACX171" s="6"/>
      <c r="ACY171" s="6"/>
      <c r="ACZ171" s="6"/>
      <c r="ADA171" s="6"/>
      <c r="ADB171" s="6"/>
      <c r="ADC171" s="6"/>
      <c r="ADD171" s="6"/>
      <c r="ADE171" s="6"/>
      <c r="ADF171" s="6"/>
      <c r="ADG171" s="6"/>
      <c r="ADH171" s="6"/>
      <c r="ADI171" s="6"/>
      <c r="ADJ171" s="6"/>
    </row>
    <row r="172" spans="1:790" s="291" customFormat="1" ht="27.6" x14ac:dyDescent="0.3">
      <c r="A172" s="399"/>
      <c r="B172" s="430" t="s">
        <v>105</v>
      </c>
      <c r="C172" s="366"/>
      <c r="D172" s="367"/>
      <c r="E172" s="367"/>
      <c r="F172" s="362"/>
      <c r="G172" s="362"/>
      <c r="H172" s="362"/>
      <c r="I172" s="369"/>
      <c r="J172" s="362"/>
      <c r="K172" s="363"/>
      <c r="L172" s="370"/>
      <c r="M172" s="490"/>
      <c r="N172" s="489" t="str">
        <f t="shared" si="138"/>
        <v/>
      </c>
      <c r="O172" s="308"/>
      <c r="Q172" s="497"/>
      <c r="R172" s="481"/>
      <c r="S172" s="514"/>
      <c r="T172" s="515" t="str">
        <f t="shared" si="143"/>
        <v/>
      </c>
      <c r="U172" s="482" t="str">
        <f t="shared" si="144"/>
        <v/>
      </c>
      <c r="V172" s="514"/>
      <c r="W172" s="515" t="str">
        <f t="shared" si="145"/>
        <v/>
      </c>
      <c r="X172" s="507"/>
      <c r="Y172" s="507"/>
      <c r="Z172" s="478"/>
      <c r="AA172" s="471"/>
      <c r="AB172" s="471"/>
      <c r="AC172" s="471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6"/>
      <c r="KZ172" s="6"/>
      <c r="LA172" s="6"/>
      <c r="LB172" s="6"/>
      <c r="LC172" s="6"/>
      <c r="LD172" s="6"/>
      <c r="LE172" s="6"/>
      <c r="LF172" s="6"/>
      <c r="LG172" s="6"/>
      <c r="LH172" s="6"/>
      <c r="LI172" s="6"/>
      <c r="LJ172" s="6"/>
      <c r="LK172" s="6"/>
      <c r="LL172" s="6"/>
      <c r="LM172" s="6"/>
      <c r="LN172" s="6"/>
      <c r="LO172" s="6"/>
      <c r="LP172" s="6"/>
      <c r="LQ172" s="6"/>
      <c r="LR172" s="6"/>
      <c r="LS172" s="6"/>
      <c r="LT172" s="6"/>
      <c r="LU172" s="6"/>
      <c r="LV172" s="6"/>
      <c r="LW172" s="6"/>
      <c r="LX172" s="6"/>
      <c r="LY172" s="6"/>
      <c r="LZ172" s="6"/>
      <c r="MA172" s="6"/>
      <c r="MB172" s="6"/>
      <c r="MC172" s="6"/>
      <c r="MD172" s="6"/>
      <c r="ME172" s="6"/>
      <c r="MF172" s="6"/>
      <c r="MG172" s="6"/>
      <c r="MH172" s="6"/>
      <c r="MI172" s="6"/>
      <c r="MJ172" s="6"/>
      <c r="MK172" s="6"/>
      <c r="ML172" s="6"/>
      <c r="MM172" s="6"/>
      <c r="MN172" s="6"/>
      <c r="MO172" s="6"/>
      <c r="MP172" s="6"/>
      <c r="MQ172" s="6"/>
      <c r="MR172" s="6"/>
      <c r="MS172" s="6"/>
      <c r="MT172" s="6"/>
      <c r="MU172" s="6"/>
      <c r="MV172" s="6"/>
      <c r="MW172" s="6"/>
      <c r="MX172" s="6"/>
      <c r="MY172" s="6"/>
      <c r="MZ172" s="6"/>
      <c r="NA172" s="6"/>
      <c r="NB172" s="6"/>
      <c r="NC172" s="6"/>
      <c r="ND172" s="6"/>
      <c r="NE172" s="6"/>
      <c r="NF172" s="6"/>
      <c r="NG172" s="6"/>
      <c r="NH172" s="6"/>
      <c r="NI172" s="6"/>
      <c r="NJ172" s="6"/>
      <c r="NK172" s="6"/>
      <c r="NL172" s="6"/>
      <c r="NM172" s="6"/>
      <c r="NN172" s="6"/>
      <c r="NO172" s="6"/>
      <c r="NP172" s="6"/>
      <c r="NQ172" s="6"/>
      <c r="NR172" s="6"/>
      <c r="NS172" s="6"/>
      <c r="NT172" s="6"/>
      <c r="NU172" s="6"/>
      <c r="NV172" s="6"/>
      <c r="NW172" s="6"/>
      <c r="NX172" s="6"/>
      <c r="NY172" s="6"/>
      <c r="NZ172" s="6"/>
      <c r="OA172" s="6"/>
      <c r="OB172" s="6"/>
      <c r="OC172" s="6"/>
      <c r="OD172" s="6"/>
      <c r="OE172" s="6"/>
      <c r="OF172" s="6"/>
      <c r="OG172" s="6"/>
      <c r="OH172" s="6"/>
      <c r="OI172" s="6"/>
      <c r="OJ172" s="6"/>
      <c r="OK172" s="6"/>
      <c r="OL172" s="6"/>
      <c r="OM172" s="6"/>
      <c r="ON172" s="6"/>
      <c r="OO172" s="6"/>
      <c r="OP172" s="6"/>
      <c r="OQ172" s="6"/>
      <c r="OR172" s="6"/>
      <c r="OS172" s="6"/>
      <c r="OT172" s="6"/>
      <c r="OU172" s="6"/>
      <c r="OV172" s="6"/>
      <c r="OW172" s="6"/>
      <c r="OX172" s="6"/>
      <c r="OY172" s="6"/>
      <c r="OZ172" s="6"/>
      <c r="PA172" s="6"/>
      <c r="PB172" s="6"/>
      <c r="PC172" s="6"/>
      <c r="PD172" s="6"/>
      <c r="PE172" s="6"/>
      <c r="PF172" s="6"/>
      <c r="PG172" s="6"/>
      <c r="PH172" s="6"/>
      <c r="PI172" s="6"/>
      <c r="PJ172" s="6"/>
      <c r="PK172" s="6"/>
      <c r="PL172" s="6"/>
      <c r="PM172" s="6"/>
      <c r="PN172" s="6"/>
      <c r="PO172" s="6"/>
      <c r="PP172" s="6"/>
      <c r="PQ172" s="6"/>
      <c r="PR172" s="6"/>
      <c r="PS172" s="6"/>
      <c r="PT172" s="6"/>
      <c r="PU172" s="6"/>
      <c r="PV172" s="6"/>
      <c r="PW172" s="6"/>
      <c r="PX172" s="6"/>
      <c r="PY172" s="6"/>
      <c r="PZ172" s="6"/>
      <c r="QA172" s="6"/>
      <c r="QB172" s="6"/>
      <c r="QC172" s="6"/>
      <c r="QD172" s="6"/>
      <c r="QE172" s="6"/>
      <c r="QF172" s="6"/>
      <c r="QG172" s="6"/>
      <c r="QH172" s="6"/>
      <c r="QI172" s="6"/>
      <c r="QJ172" s="6"/>
      <c r="QK172" s="6"/>
      <c r="QL172" s="6"/>
      <c r="QM172" s="6"/>
      <c r="QN172" s="6"/>
      <c r="QO172" s="6"/>
      <c r="QP172" s="6"/>
      <c r="QQ172" s="6"/>
      <c r="QR172" s="6"/>
      <c r="QS172" s="6"/>
      <c r="QT172" s="6"/>
      <c r="QU172" s="6"/>
      <c r="QV172" s="6"/>
      <c r="QW172" s="6"/>
      <c r="QX172" s="6"/>
      <c r="QY172" s="6"/>
      <c r="QZ172" s="6"/>
      <c r="RA172" s="6"/>
      <c r="RB172" s="6"/>
      <c r="RC172" s="6"/>
      <c r="RD172" s="6"/>
      <c r="RE172" s="6"/>
      <c r="RF172" s="6"/>
      <c r="RG172" s="6"/>
      <c r="RH172" s="6"/>
      <c r="RI172" s="6"/>
      <c r="RJ172" s="6"/>
      <c r="RK172" s="6"/>
      <c r="RL172" s="6"/>
      <c r="RM172" s="6"/>
      <c r="RN172" s="6"/>
      <c r="RO172" s="6"/>
      <c r="RP172" s="6"/>
      <c r="RQ172" s="6"/>
      <c r="RR172" s="6"/>
      <c r="RS172" s="6"/>
      <c r="RT172" s="6"/>
      <c r="RU172" s="6"/>
      <c r="RV172" s="6"/>
      <c r="RW172" s="6"/>
      <c r="RX172" s="6"/>
      <c r="RY172" s="6"/>
      <c r="RZ172" s="6"/>
      <c r="SA172" s="6"/>
      <c r="SB172" s="6"/>
      <c r="SC172" s="6"/>
      <c r="SD172" s="6"/>
      <c r="SE172" s="6"/>
      <c r="SF172" s="6"/>
      <c r="SG172" s="6"/>
      <c r="SH172" s="6"/>
      <c r="SI172" s="6"/>
      <c r="SJ172" s="6"/>
      <c r="SK172" s="6"/>
      <c r="SL172" s="6"/>
      <c r="SM172" s="6"/>
      <c r="SN172" s="6"/>
      <c r="SO172" s="6"/>
      <c r="SP172" s="6"/>
      <c r="SQ172" s="6"/>
      <c r="SR172" s="6"/>
      <c r="SS172" s="6"/>
      <c r="ST172" s="6"/>
      <c r="SU172" s="6"/>
      <c r="SV172" s="6"/>
      <c r="SW172" s="6"/>
      <c r="SX172" s="6"/>
      <c r="SY172" s="6"/>
      <c r="SZ172" s="6"/>
      <c r="TA172" s="6"/>
      <c r="TB172" s="6"/>
      <c r="TC172" s="6"/>
      <c r="TD172" s="6"/>
      <c r="TE172" s="6"/>
      <c r="TF172" s="6"/>
      <c r="TG172" s="6"/>
      <c r="TH172" s="6"/>
      <c r="TI172" s="6"/>
      <c r="TJ172" s="6"/>
      <c r="TK172" s="6"/>
      <c r="TL172" s="6"/>
      <c r="TM172" s="6"/>
      <c r="TN172" s="6"/>
      <c r="TO172" s="6"/>
      <c r="TP172" s="6"/>
      <c r="TQ172" s="6"/>
      <c r="TR172" s="6"/>
      <c r="TS172" s="6"/>
      <c r="TT172" s="6"/>
      <c r="TU172" s="6"/>
      <c r="TV172" s="6"/>
      <c r="TW172" s="6"/>
      <c r="TX172" s="6"/>
      <c r="TY172" s="6"/>
      <c r="TZ172" s="6"/>
      <c r="UA172" s="6"/>
      <c r="UB172" s="6"/>
      <c r="UC172" s="6"/>
      <c r="UD172" s="6"/>
      <c r="UE172" s="6"/>
      <c r="UF172" s="6"/>
      <c r="UG172" s="6"/>
      <c r="UH172" s="6"/>
      <c r="UI172" s="6"/>
      <c r="UJ172" s="6"/>
      <c r="UK172" s="6"/>
      <c r="UL172" s="6"/>
      <c r="UM172" s="6"/>
      <c r="UN172" s="6"/>
      <c r="UO172" s="6"/>
      <c r="UP172" s="6"/>
      <c r="UQ172" s="6"/>
      <c r="UR172" s="6"/>
      <c r="US172" s="6"/>
      <c r="UT172" s="6"/>
      <c r="UU172" s="6"/>
      <c r="UV172" s="6"/>
      <c r="UW172" s="6"/>
      <c r="UX172" s="6"/>
      <c r="UY172" s="6"/>
      <c r="UZ172" s="6"/>
      <c r="VA172" s="6"/>
      <c r="VB172" s="6"/>
      <c r="VC172" s="6"/>
      <c r="VD172" s="6"/>
      <c r="VE172" s="6"/>
      <c r="VF172" s="6"/>
      <c r="VG172" s="6"/>
      <c r="VH172" s="6"/>
      <c r="VI172" s="6"/>
      <c r="VJ172" s="6"/>
      <c r="VK172" s="6"/>
      <c r="VL172" s="6"/>
      <c r="VM172" s="6"/>
      <c r="VN172" s="6"/>
      <c r="VO172" s="6"/>
      <c r="VP172" s="6"/>
      <c r="VQ172" s="6"/>
      <c r="VR172" s="6"/>
      <c r="VS172" s="6"/>
      <c r="VT172" s="6"/>
      <c r="VU172" s="6"/>
      <c r="VV172" s="6"/>
      <c r="VW172" s="6"/>
      <c r="VX172" s="6"/>
      <c r="VY172" s="6"/>
      <c r="VZ172" s="6"/>
      <c r="WA172" s="6"/>
      <c r="WB172" s="6"/>
      <c r="WC172" s="6"/>
      <c r="WD172" s="6"/>
      <c r="WE172" s="6"/>
      <c r="WF172" s="6"/>
      <c r="WG172" s="6"/>
      <c r="WH172" s="6"/>
      <c r="WI172" s="6"/>
      <c r="WJ172" s="6"/>
      <c r="WK172" s="6"/>
      <c r="WL172" s="6"/>
      <c r="WM172" s="6"/>
      <c r="WN172" s="6"/>
      <c r="WO172" s="6"/>
      <c r="WP172" s="6"/>
      <c r="WQ172" s="6"/>
      <c r="WR172" s="6"/>
      <c r="WS172" s="6"/>
      <c r="WT172" s="6"/>
      <c r="WU172" s="6"/>
      <c r="WV172" s="6"/>
      <c r="WW172" s="6"/>
      <c r="WX172" s="6"/>
      <c r="WY172" s="6"/>
      <c r="WZ172" s="6"/>
      <c r="XA172" s="6"/>
      <c r="XB172" s="6"/>
      <c r="XC172" s="6"/>
      <c r="XD172" s="6"/>
      <c r="XE172" s="6"/>
      <c r="XF172" s="6"/>
      <c r="XG172" s="6"/>
      <c r="XH172" s="6"/>
      <c r="XI172" s="6"/>
      <c r="XJ172" s="6"/>
      <c r="XK172" s="6"/>
      <c r="XL172" s="6"/>
      <c r="XM172" s="6"/>
      <c r="XN172" s="6"/>
      <c r="XO172" s="6"/>
      <c r="XP172" s="6"/>
      <c r="XQ172" s="6"/>
      <c r="XR172" s="6"/>
      <c r="XS172" s="6"/>
      <c r="XT172" s="6"/>
      <c r="XU172" s="6"/>
      <c r="XV172" s="6"/>
      <c r="XW172" s="6"/>
      <c r="XX172" s="6"/>
      <c r="XY172" s="6"/>
      <c r="XZ172" s="6"/>
      <c r="YA172" s="6"/>
      <c r="YB172" s="6"/>
      <c r="YC172" s="6"/>
      <c r="YD172" s="6"/>
      <c r="YE172" s="6"/>
      <c r="YF172" s="6"/>
      <c r="YG172" s="6"/>
      <c r="YH172" s="6"/>
      <c r="YI172" s="6"/>
      <c r="YJ172" s="6"/>
      <c r="YK172" s="6"/>
      <c r="YL172" s="6"/>
      <c r="YM172" s="6"/>
      <c r="YN172" s="6"/>
      <c r="YO172" s="6"/>
      <c r="YP172" s="6"/>
      <c r="YQ172" s="6"/>
      <c r="YR172" s="6"/>
      <c r="YS172" s="6"/>
      <c r="YT172" s="6"/>
      <c r="YU172" s="6"/>
      <c r="YV172" s="6"/>
      <c r="YW172" s="6"/>
      <c r="YX172" s="6"/>
      <c r="YY172" s="6"/>
      <c r="YZ172" s="6"/>
      <c r="ZA172" s="6"/>
      <c r="ZB172" s="6"/>
      <c r="ZC172" s="6"/>
      <c r="ZD172" s="6"/>
      <c r="ZE172" s="6"/>
      <c r="ZF172" s="6"/>
      <c r="ZG172" s="6"/>
      <c r="ZH172" s="6"/>
      <c r="ZI172" s="6"/>
      <c r="ZJ172" s="6"/>
      <c r="ZK172" s="6"/>
      <c r="ZL172" s="6"/>
      <c r="ZM172" s="6"/>
      <c r="ZN172" s="6"/>
      <c r="ZO172" s="6"/>
      <c r="ZP172" s="6"/>
      <c r="ZQ172" s="6"/>
      <c r="ZR172" s="6"/>
      <c r="ZS172" s="6"/>
      <c r="ZT172" s="6"/>
      <c r="ZU172" s="6"/>
      <c r="ZV172" s="6"/>
      <c r="ZW172" s="6"/>
      <c r="ZX172" s="6"/>
      <c r="ZY172" s="6"/>
      <c r="ZZ172" s="6"/>
      <c r="AAA172" s="6"/>
      <c r="AAB172" s="6"/>
      <c r="AAC172" s="6"/>
      <c r="AAD172" s="6"/>
      <c r="AAE172" s="6"/>
      <c r="AAF172" s="6"/>
      <c r="AAG172" s="6"/>
      <c r="AAH172" s="6"/>
      <c r="AAI172" s="6"/>
      <c r="AAJ172" s="6"/>
      <c r="AAK172" s="6"/>
      <c r="AAL172" s="6"/>
      <c r="AAM172" s="6"/>
      <c r="AAN172" s="6"/>
      <c r="AAO172" s="6"/>
      <c r="AAP172" s="6"/>
      <c r="AAQ172" s="6"/>
      <c r="AAR172" s="6"/>
      <c r="AAS172" s="6"/>
      <c r="AAT172" s="6"/>
      <c r="AAU172" s="6"/>
      <c r="AAV172" s="6"/>
      <c r="AAW172" s="6"/>
      <c r="AAX172" s="6"/>
      <c r="AAY172" s="6"/>
      <c r="AAZ172" s="6"/>
      <c r="ABA172" s="6"/>
      <c r="ABB172" s="6"/>
      <c r="ABC172" s="6"/>
      <c r="ABD172" s="6"/>
      <c r="ABE172" s="6"/>
      <c r="ABF172" s="6"/>
      <c r="ABG172" s="6"/>
      <c r="ABH172" s="6"/>
      <c r="ABI172" s="6"/>
      <c r="ABJ172" s="6"/>
      <c r="ABK172" s="6"/>
      <c r="ABL172" s="6"/>
      <c r="ABM172" s="6"/>
      <c r="ABN172" s="6"/>
      <c r="ABO172" s="6"/>
      <c r="ABP172" s="6"/>
      <c r="ABQ172" s="6"/>
      <c r="ABR172" s="6"/>
      <c r="ABS172" s="6"/>
      <c r="ABT172" s="6"/>
      <c r="ABU172" s="6"/>
      <c r="ABV172" s="6"/>
      <c r="ABW172" s="6"/>
      <c r="ABX172" s="6"/>
      <c r="ABY172" s="6"/>
      <c r="ABZ172" s="6"/>
      <c r="ACA172" s="6"/>
      <c r="ACB172" s="6"/>
      <c r="ACC172" s="6"/>
      <c r="ACD172" s="6"/>
      <c r="ACE172" s="6"/>
      <c r="ACF172" s="6"/>
      <c r="ACG172" s="6"/>
      <c r="ACH172" s="6"/>
      <c r="ACI172" s="6"/>
      <c r="ACJ172" s="6"/>
      <c r="ACK172" s="6"/>
      <c r="ACL172" s="6"/>
      <c r="ACM172" s="6"/>
      <c r="ACN172" s="6"/>
      <c r="ACO172" s="6"/>
      <c r="ACP172" s="6"/>
      <c r="ACQ172" s="6"/>
      <c r="ACR172" s="6"/>
      <c r="ACS172" s="6"/>
      <c r="ACT172" s="6"/>
      <c r="ACU172" s="6"/>
      <c r="ACV172" s="6"/>
      <c r="ACW172" s="6"/>
      <c r="ACX172" s="6"/>
      <c r="ACY172" s="6"/>
      <c r="ACZ172" s="6"/>
      <c r="ADA172" s="6"/>
      <c r="ADB172" s="6"/>
      <c r="ADC172" s="6"/>
      <c r="ADD172" s="6"/>
      <c r="ADE172" s="6"/>
      <c r="ADF172" s="6"/>
      <c r="ADG172" s="6"/>
      <c r="ADH172" s="6"/>
      <c r="ADI172" s="6"/>
      <c r="ADJ172" s="6"/>
    </row>
    <row r="173" spans="1:790" s="291" customFormat="1" x14ac:dyDescent="0.3">
      <c r="A173" s="399"/>
      <c r="B173" s="571" t="s">
        <v>151</v>
      </c>
      <c r="C173" s="366"/>
      <c r="D173" s="367">
        <v>5.47</v>
      </c>
      <c r="E173" s="367">
        <v>5.44</v>
      </c>
      <c r="F173" s="362"/>
      <c r="G173" s="362">
        <v>3.2</v>
      </c>
      <c r="H173" s="362">
        <f>+PRODUCT(C173:G173)</f>
        <v>95.221760000000017</v>
      </c>
      <c r="I173" s="369" t="s">
        <v>22</v>
      </c>
      <c r="J173" s="362">
        <f>+PRODUCT(C173:G173)</f>
        <v>95.221760000000017</v>
      </c>
      <c r="K173" s="363">
        <v>8</v>
      </c>
      <c r="L173" s="370">
        <f t="shared" ref="L173:L175" si="171">J173*K173</f>
        <v>761.77408000000014</v>
      </c>
      <c r="M173" s="490">
        <f t="shared" ref="M173:M175" si="172">K173*(100%-16.5%)</f>
        <v>6.68</v>
      </c>
      <c r="N173" s="489">
        <f t="shared" si="138"/>
        <v>636.08135680000009</v>
      </c>
      <c r="O173" s="308"/>
      <c r="Q173" s="497"/>
      <c r="R173" s="481">
        <f t="shared" si="148"/>
        <v>95.221760000000017</v>
      </c>
      <c r="S173" s="514">
        <v>3.5</v>
      </c>
      <c r="T173" s="515">
        <f t="shared" si="143"/>
        <v>333.27616000000006</v>
      </c>
      <c r="U173" s="482">
        <f t="shared" si="144"/>
        <v>95.221760000000017</v>
      </c>
      <c r="V173" s="514"/>
      <c r="W173" s="515" t="str">
        <f t="shared" si="145"/>
        <v/>
      </c>
      <c r="X173" s="507">
        <f t="shared" ref="X173:X175" si="173">V173+S173</f>
        <v>3.5</v>
      </c>
      <c r="Y173" s="520">
        <f t="shared" ref="Y173:Y175" si="174">M173-X173</f>
        <v>3.1799999999999997</v>
      </c>
      <c r="Z173" s="521">
        <f t="shared" ref="Z173:Z175" si="175">Y173/M173</f>
        <v>0.47604790419161674</v>
      </c>
      <c r="AA173" s="471"/>
      <c r="AB173" s="471"/>
      <c r="AC173" s="471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6"/>
      <c r="IQ173" s="6"/>
      <c r="IR173" s="6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6"/>
      <c r="KZ173" s="6"/>
      <c r="LA173" s="6"/>
      <c r="LB173" s="6"/>
      <c r="LC173" s="6"/>
      <c r="LD173" s="6"/>
      <c r="LE173" s="6"/>
      <c r="LF173" s="6"/>
      <c r="LG173" s="6"/>
      <c r="LH173" s="6"/>
      <c r="LI173" s="6"/>
      <c r="LJ173" s="6"/>
      <c r="LK173" s="6"/>
      <c r="LL173" s="6"/>
      <c r="LM173" s="6"/>
      <c r="LN173" s="6"/>
      <c r="LO173" s="6"/>
      <c r="LP173" s="6"/>
      <c r="LQ173" s="6"/>
      <c r="LR173" s="6"/>
      <c r="LS173" s="6"/>
      <c r="LT173" s="6"/>
      <c r="LU173" s="6"/>
      <c r="LV173" s="6"/>
      <c r="LW173" s="6"/>
      <c r="LX173" s="6"/>
      <c r="LY173" s="6"/>
      <c r="LZ173" s="6"/>
      <c r="MA173" s="6"/>
      <c r="MB173" s="6"/>
      <c r="MC173" s="6"/>
      <c r="MD173" s="6"/>
      <c r="ME173" s="6"/>
      <c r="MF173" s="6"/>
      <c r="MG173" s="6"/>
      <c r="MH173" s="6"/>
      <c r="MI173" s="6"/>
      <c r="MJ173" s="6"/>
      <c r="MK173" s="6"/>
      <c r="ML173" s="6"/>
      <c r="MM173" s="6"/>
      <c r="MN173" s="6"/>
      <c r="MO173" s="6"/>
      <c r="MP173" s="6"/>
      <c r="MQ173" s="6"/>
      <c r="MR173" s="6"/>
      <c r="MS173" s="6"/>
      <c r="MT173" s="6"/>
      <c r="MU173" s="6"/>
      <c r="MV173" s="6"/>
      <c r="MW173" s="6"/>
      <c r="MX173" s="6"/>
      <c r="MY173" s="6"/>
      <c r="MZ173" s="6"/>
      <c r="NA173" s="6"/>
      <c r="NB173" s="6"/>
      <c r="NC173" s="6"/>
      <c r="ND173" s="6"/>
      <c r="NE173" s="6"/>
      <c r="NF173" s="6"/>
      <c r="NG173" s="6"/>
      <c r="NH173" s="6"/>
      <c r="NI173" s="6"/>
      <c r="NJ173" s="6"/>
      <c r="NK173" s="6"/>
      <c r="NL173" s="6"/>
      <c r="NM173" s="6"/>
      <c r="NN173" s="6"/>
      <c r="NO173" s="6"/>
      <c r="NP173" s="6"/>
      <c r="NQ173" s="6"/>
      <c r="NR173" s="6"/>
      <c r="NS173" s="6"/>
      <c r="NT173" s="6"/>
      <c r="NU173" s="6"/>
      <c r="NV173" s="6"/>
      <c r="NW173" s="6"/>
      <c r="NX173" s="6"/>
      <c r="NY173" s="6"/>
      <c r="NZ173" s="6"/>
      <c r="OA173" s="6"/>
      <c r="OB173" s="6"/>
      <c r="OC173" s="6"/>
      <c r="OD173" s="6"/>
      <c r="OE173" s="6"/>
      <c r="OF173" s="6"/>
      <c r="OG173" s="6"/>
      <c r="OH173" s="6"/>
      <c r="OI173" s="6"/>
      <c r="OJ173" s="6"/>
      <c r="OK173" s="6"/>
      <c r="OL173" s="6"/>
      <c r="OM173" s="6"/>
      <c r="ON173" s="6"/>
      <c r="OO173" s="6"/>
      <c r="OP173" s="6"/>
      <c r="OQ173" s="6"/>
      <c r="OR173" s="6"/>
      <c r="OS173" s="6"/>
      <c r="OT173" s="6"/>
      <c r="OU173" s="6"/>
      <c r="OV173" s="6"/>
      <c r="OW173" s="6"/>
      <c r="OX173" s="6"/>
      <c r="OY173" s="6"/>
      <c r="OZ173" s="6"/>
      <c r="PA173" s="6"/>
      <c r="PB173" s="6"/>
      <c r="PC173" s="6"/>
      <c r="PD173" s="6"/>
      <c r="PE173" s="6"/>
      <c r="PF173" s="6"/>
      <c r="PG173" s="6"/>
      <c r="PH173" s="6"/>
      <c r="PI173" s="6"/>
      <c r="PJ173" s="6"/>
      <c r="PK173" s="6"/>
      <c r="PL173" s="6"/>
      <c r="PM173" s="6"/>
      <c r="PN173" s="6"/>
      <c r="PO173" s="6"/>
      <c r="PP173" s="6"/>
      <c r="PQ173" s="6"/>
      <c r="PR173" s="6"/>
      <c r="PS173" s="6"/>
      <c r="PT173" s="6"/>
      <c r="PU173" s="6"/>
      <c r="PV173" s="6"/>
      <c r="PW173" s="6"/>
      <c r="PX173" s="6"/>
      <c r="PY173" s="6"/>
      <c r="PZ173" s="6"/>
      <c r="QA173" s="6"/>
      <c r="QB173" s="6"/>
      <c r="QC173" s="6"/>
      <c r="QD173" s="6"/>
      <c r="QE173" s="6"/>
      <c r="QF173" s="6"/>
      <c r="QG173" s="6"/>
      <c r="QH173" s="6"/>
      <c r="QI173" s="6"/>
      <c r="QJ173" s="6"/>
      <c r="QK173" s="6"/>
      <c r="QL173" s="6"/>
      <c r="QM173" s="6"/>
      <c r="QN173" s="6"/>
      <c r="QO173" s="6"/>
      <c r="QP173" s="6"/>
      <c r="QQ173" s="6"/>
      <c r="QR173" s="6"/>
      <c r="QS173" s="6"/>
      <c r="QT173" s="6"/>
      <c r="QU173" s="6"/>
      <c r="QV173" s="6"/>
      <c r="QW173" s="6"/>
      <c r="QX173" s="6"/>
      <c r="QY173" s="6"/>
      <c r="QZ173" s="6"/>
      <c r="RA173" s="6"/>
      <c r="RB173" s="6"/>
      <c r="RC173" s="6"/>
      <c r="RD173" s="6"/>
      <c r="RE173" s="6"/>
      <c r="RF173" s="6"/>
      <c r="RG173" s="6"/>
      <c r="RH173" s="6"/>
      <c r="RI173" s="6"/>
      <c r="RJ173" s="6"/>
      <c r="RK173" s="6"/>
      <c r="RL173" s="6"/>
      <c r="RM173" s="6"/>
      <c r="RN173" s="6"/>
      <c r="RO173" s="6"/>
      <c r="RP173" s="6"/>
      <c r="RQ173" s="6"/>
      <c r="RR173" s="6"/>
      <c r="RS173" s="6"/>
      <c r="RT173" s="6"/>
      <c r="RU173" s="6"/>
      <c r="RV173" s="6"/>
      <c r="RW173" s="6"/>
      <c r="RX173" s="6"/>
      <c r="RY173" s="6"/>
      <c r="RZ173" s="6"/>
      <c r="SA173" s="6"/>
      <c r="SB173" s="6"/>
      <c r="SC173" s="6"/>
      <c r="SD173" s="6"/>
      <c r="SE173" s="6"/>
      <c r="SF173" s="6"/>
      <c r="SG173" s="6"/>
      <c r="SH173" s="6"/>
      <c r="SI173" s="6"/>
      <c r="SJ173" s="6"/>
      <c r="SK173" s="6"/>
      <c r="SL173" s="6"/>
      <c r="SM173" s="6"/>
      <c r="SN173" s="6"/>
      <c r="SO173" s="6"/>
      <c r="SP173" s="6"/>
      <c r="SQ173" s="6"/>
      <c r="SR173" s="6"/>
      <c r="SS173" s="6"/>
      <c r="ST173" s="6"/>
      <c r="SU173" s="6"/>
      <c r="SV173" s="6"/>
      <c r="SW173" s="6"/>
      <c r="SX173" s="6"/>
      <c r="SY173" s="6"/>
      <c r="SZ173" s="6"/>
      <c r="TA173" s="6"/>
      <c r="TB173" s="6"/>
      <c r="TC173" s="6"/>
      <c r="TD173" s="6"/>
      <c r="TE173" s="6"/>
      <c r="TF173" s="6"/>
      <c r="TG173" s="6"/>
      <c r="TH173" s="6"/>
      <c r="TI173" s="6"/>
      <c r="TJ173" s="6"/>
      <c r="TK173" s="6"/>
      <c r="TL173" s="6"/>
      <c r="TM173" s="6"/>
      <c r="TN173" s="6"/>
      <c r="TO173" s="6"/>
      <c r="TP173" s="6"/>
      <c r="TQ173" s="6"/>
      <c r="TR173" s="6"/>
      <c r="TS173" s="6"/>
      <c r="TT173" s="6"/>
      <c r="TU173" s="6"/>
      <c r="TV173" s="6"/>
      <c r="TW173" s="6"/>
      <c r="TX173" s="6"/>
      <c r="TY173" s="6"/>
      <c r="TZ173" s="6"/>
      <c r="UA173" s="6"/>
      <c r="UB173" s="6"/>
      <c r="UC173" s="6"/>
      <c r="UD173" s="6"/>
      <c r="UE173" s="6"/>
      <c r="UF173" s="6"/>
      <c r="UG173" s="6"/>
      <c r="UH173" s="6"/>
      <c r="UI173" s="6"/>
      <c r="UJ173" s="6"/>
      <c r="UK173" s="6"/>
      <c r="UL173" s="6"/>
      <c r="UM173" s="6"/>
      <c r="UN173" s="6"/>
      <c r="UO173" s="6"/>
      <c r="UP173" s="6"/>
      <c r="UQ173" s="6"/>
      <c r="UR173" s="6"/>
      <c r="US173" s="6"/>
      <c r="UT173" s="6"/>
      <c r="UU173" s="6"/>
      <c r="UV173" s="6"/>
      <c r="UW173" s="6"/>
      <c r="UX173" s="6"/>
      <c r="UY173" s="6"/>
      <c r="UZ173" s="6"/>
      <c r="VA173" s="6"/>
      <c r="VB173" s="6"/>
      <c r="VC173" s="6"/>
      <c r="VD173" s="6"/>
      <c r="VE173" s="6"/>
      <c r="VF173" s="6"/>
      <c r="VG173" s="6"/>
      <c r="VH173" s="6"/>
      <c r="VI173" s="6"/>
      <c r="VJ173" s="6"/>
      <c r="VK173" s="6"/>
      <c r="VL173" s="6"/>
      <c r="VM173" s="6"/>
      <c r="VN173" s="6"/>
      <c r="VO173" s="6"/>
      <c r="VP173" s="6"/>
      <c r="VQ173" s="6"/>
      <c r="VR173" s="6"/>
      <c r="VS173" s="6"/>
      <c r="VT173" s="6"/>
      <c r="VU173" s="6"/>
      <c r="VV173" s="6"/>
      <c r="VW173" s="6"/>
      <c r="VX173" s="6"/>
      <c r="VY173" s="6"/>
      <c r="VZ173" s="6"/>
      <c r="WA173" s="6"/>
      <c r="WB173" s="6"/>
      <c r="WC173" s="6"/>
      <c r="WD173" s="6"/>
      <c r="WE173" s="6"/>
      <c r="WF173" s="6"/>
      <c r="WG173" s="6"/>
      <c r="WH173" s="6"/>
      <c r="WI173" s="6"/>
      <c r="WJ173" s="6"/>
      <c r="WK173" s="6"/>
      <c r="WL173" s="6"/>
      <c r="WM173" s="6"/>
      <c r="WN173" s="6"/>
      <c r="WO173" s="6"/>
      <c r="WP173" s="6"/>
      <c r="WQ173" s="6"/>
      <c r="WR173" s="6"/>
      <c r="WS173" s="6"/>
      <c r="WT173" s="6"/>
      <c r="WU173" s="6"/>
      <c r="WV173" s="6"/>
      <c r="WW173" s="6"/>
      <c r="WX173" s="6"/>
      <c r="WY173" s="6"/>
      <c r="WZ173" s="6"/>
      <c r="XA173" s="6"/>
      <c r="XB173" s="6"/>
      <c r="XC173" s="6"/>
      <c r="XD173" s="6"/>
      <c r="XE173" s="6"/>
      <c r="XF173" s="6"/>
      <c r="XG173" s="6"/>
      <c r="XH173" s="6"/>
      <c r="XI173" s="6"/>
      <c r="XJ173" s="6"/>
      <c r="XK173" s="6"/>
      <c r="XL173" s="6"/>
      <c r="XM173" s="6"/>
      <c r="XN173" s="6"/>
      <c r="XO173" s="6"/>
      <c r="XP173" s="6"/>
      <c r="XQ173" s="6"/>
      <c r="XR173" s="6"/>
      <c r="XS173" s="6"/>
      <c r="XT173" s="6"/>
      <c r="XU173" s="6"/>
      <c r="XV173" s="6"/>
      <c r="XW173" s="6"/>
      <c r="XX173" s="6"/>
      <c r="XY173" s="6"/>
      <c r="XZ173" s="6"/>
      <c r="YA173" s="6"/>
      <c r="YB173" s="6"/>
      <c r="YC173" s="6"/>
      <c r="YD173" s="6"/>
      <c r="YE173" s="6"/>
      <c r="YF173" s="6"/>
      <c r="YG173" s="6"/>
      <c r="YH173" s="6"/>
      <c r="YI173" s="6"/>
      <c r="YJ173" s="6"/>
      <c r="YK173" s="6"/>
      <c r="YL173" s="6"/>
      <c r="YM173" s="6"/>
      <c r="YN173" s="6"/>
      <c r="YO173" s="6"/>
      <c r="YP173" s="6"/>
      <c r="YQ173" s="6"/>
      <c r="YR173" s="6"/>
      <c r="YS173" s="6"/>
      <c r="YT173" s="6"/>
      <c r="YU173" s="6"/>
      <c r="YV173" s="6"/>
      <c r="YW173" s="6"/>
      <c r="YX173" s="6"/>
      <c r="YY173" s="6"/>
      <c r="YZ173" s="6"/>
      <c r="ZA173" s="6"/>
      <c r="ZB173" s="6"/>
      <c r="ZC173" s="6"/>
      <c r="ZD173" s="6"/>
      <c r="ZE173" s="6"/>
      <c r="ZF173" s="6"/>
      <c r="ZG173" s="6"/>
      <c r="ZH173" s="6"/>
      <c r="ZI173" s="6"/>
      <c r="ZJ173" s="6"/>
      <c r="ZK173" s="6"/>
      <c r="ZL173" s="6"/>
      <c r="ZM173" s="6"/>
      <c r="ZN173" s="6"/>
      <c r="ZO173" s="6"/>
      <c r="ZP173" s="6"/>
      <c r="ZQ173" s="6"/>
      <c r="ZR173" s="6"/>
      <c r="ZS173" s="6"/>
      <c r="ZT173" s="6"/>
      <c r="ZU173" s="6"/>
      <c r="ZV173" s="6"/>
      <c r="ZW173" s="6"/>
      <c r="ZX173" s="6"/>
      <c r="ZY173" s="6"/>
      <c r="ZZ173" s="6"/>
      <c r="AAA173" s="6"/>
      <c r="AAB173" s="6"/>
      <c r="AAC173" s="6"/>
      <c r="AAD173" s="6"/>
      <c r="AAE173" s="6"/>
      <c r="AAF173" s="6"/>
      <c r="AAG173" s="6"/>
      <c r="AAH173" s="6"/>
      <c r="AAI173" s="6"/>
      <c r="AAJ173" s="6"/>
      <c r="AAK173" s="6"/>
      <c r="AAL173" s="6"/>
      <c r="AAM173" s="6"/>
      <c r="AAN173" s="6"/>
      <c r="AAO173" s="6"/>
      <c r="AAP173" s="6"/>
      <c r="AAQ173" s="6"/>
      <c r="AAR173" s="6"/>
      <c r="AAS173" s="6"/>
      <c r="AAT173" s="6"/>
      <c r="AAU173" s="6"/>
      <c r="AAV173" s="6"/>
      <c r="AAW173" s="6"/>
      <c r="AAX173" s="6"/>
      <c r="AAY173" s="6"/>
      <c r="AAZ173" s="6"/>
      <c r="ABA173" s="6"/>
      <c r="ABB173" s="6"/>
      <c r="ABC173" s="6"/>
      <c r="ABD173" s="6"/>
      <c r="ABE173" s="6"/>
      <c r="ABF173" s="6"/>
      <c r="ABG173" s="6"/>
      <c r="ABH173" s="6"/>
      <c r="ABI173" s="6"/>
      <c r="ABJ173" s="6"/>
      <c r="ABK173" s="6"/>
      <c r="ABL173" s="6"/>
      <c r="ABM173" s="6"/>
      <c r="ABN173" s="6"/>
      <c r="ABO173" s="6"/>
      <c r="ABP173" s="6"/>
      <c r="ABQ173" s="6"/>
      <c r="ABR173" s="6"/>
      <c r="ABS173" s="6"/>
      <c r="ABT173" s="6"/>
      <c r="ABU173" s="6"/>
      <c r="ABV173" s="6"/>
      <c r="ABW173" s="6"/>
      <c r="ABX173" s="6"/>
      <c r="ABY173" s="6"/>
      <c r="ABZ173" s="6"/>
      <c r="ACA173" s="6"/>
      <c r="ACB173" s="6"/>
      <c r="ACC173" s="6"/>
      <c r="ACD173" s="6"/>
      <c r="ACE173" s="6"/>
      <c r="ACF173" s="6"/>
      <c r="ACG173" s="6"/>
      <c r="ACH173" s="6"/>
      <c r="ACI173" s="6"/>
      <c r="ACJ173" s="6"/>
      <c r="ACK173" s="6"/>
      <c r="ACL173" s="6"/>
      <c r="ACM173" s="6"/>
      <c r="ACN173" s="6"/>
      <c r="ACO173" s="6"/>
      <c r="ACP173" s="6"/>
      <c r="ACQ173" s="6"/>
      <c r="ACR173" s="6"/>
      <c r="ACS173" s="6"/>
      <c r="ACT173" s="6"/>
      <c r="ACU173" s="6"/>
      <c r="ACV173" s="6"/>
      <c r="ACW173" s="6"/>
      <c r="ACX173" s="6"/>
      <c r="ACY173" s="6"/>
      <c r="ACZ173" s="6"/>
      <c r="ADA173" s="6"/>
      <c r="ADB173" s="6"/>
      <c r="ADC173" s="6"/>
      <c r="ADD173" s="6"/>
      <c r="ADE173" s="6"/>
      <c r="ADF173" s="6"/>
      <c r="ADG173" s="6"/>
      <c r="ADH173" s="6"/>
      <c r="ADI173" s="6"/>
      <c r="ADJ173" s="6"/>
    </row>
    <row r="174" spans="1:790" s="291" customFormat="1" x14ac:dyDescent="0.3">
      <c r="A174" s="399"/>
      <c r="B174" s="571" t="s">
        <v>152</v>
      </c>
      <c r="C174" s="366"/>
      <c r="D174" s="367">
        <f>5.2+5.15+1</f>
        <v>11.350000000000001</v>
      </c>
      <c r="E174" s="367">
        <f>2.56+5.15+1</f>
        <v>8.7100000000000009</v>
      </c>
      <c r="F174" s="362"/>
      <c r="G174" s="362">
        <v>5.9</v>
      </c>
      <c r="H174" s="362">
        <f>+PRODUCT(C174:G174)</f>
        <v>583.26515000000018</v>
      </c>
      <c r="I174" s="369" t="s">
        <v>22</v>
      </c>
      <c r="J174" s="362">
        <f>+PRODUCT(C174:G174)</f>
        <v>583.26515000000018</v>
      </c>
      <c r="K174" s="363">
        <v>8</v>
      </c>
      <c r="L174" s="370">
        <f t="shared" si="171"/>
        <v>4666.1212000000014</v>
      </c>
      <c r="M174" s="490">
        <f t="shared" si="172"/>
        <v>6.68</v>
      </c>
      <c r="N174" s="489">
        <f t="shared" si="138"/>
        <v>3896.2112020000009</v>
      </c>
      <c r="O174" s="308"/>
      <c r="Q174" s="497"/>
      <c r="R174" s="481">
        <f t="shared" si="148"/>
        <v>583.26515000000018</v>
      </c>
      <c r="S174" s="514">
        <f>S173</f>
        <v>3.5</v>
      </c>
      <c r="T174" s="515">
        <f t="shared" si="143"/>
        <v>2041.4280250000006</v>
      </c>
      <c r="U174" s="482">
        <f t="shared" si="144"/>
        <v>583.26515000000018</v>
      </c>
      <c r="V174" s="514"/>
      <c r="W174" s="515" t="str">
        <f t="shared" si="145"/>
        <v/>
      </c>
      <c r="X174" s="507">
        <f t="shared" si="173"/>
        <v>3.5</v>
      </c>
      <c r="Y174" s="520">
        <f t="shared" si="174"/>
        <v>3.1799999999999997</v>
      </c>
      <c r="Z174" s="521">
        <f t="shared" si="175"/>
        <v>0.47604790419161674</v>
      </c>
      <c r="AA174" s="471"/>
      <c r="AB174" s="471"/>
      <c r="AC174" s="471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6"/>
      <c r="KZ174" s="6"/>
      <c r="LA174" s="6"/>
      <c r="LB174" s="6"/>
      <c r="LC174" s="6"/>
      <c r="LD174" s="6"/>
      <c r="LE174" s="6"/>
      <c r="LF174" s="6"/>
      <c r="LG174" s="6"/>
      <c r="LH174" s="6"/>
      <c r="LI174" s="6"/>
      <c r="LJ174" s="6"/>
      <c r="LK174" s="6"/>
      <c r="LL174" s="6"/>
      <c r="LM174" s="6"/>
      <c r="LN174" s="6"/>
      <c r="LO174" s="6"/>
      <c r="LP174" s="6"/>
      <c r="LQ174" s="6"/>
      <c r="LR174" s="6"/>
      <c r="LS174" s="6"/>
      <c r="LT174" s="6"/>
      <c r="LU174" s="6"/>
      <c r="LV174" s="6"/>
      <c r="LW174" s="6"/>
      <c r="LX174" s="6"/>
      <c r="LY174" s="6"/>
      <c r="LZ174" s="6"/>
      <c r="MA174" s="6"/>
      <c r="MB174" s="6"/>
      <c r="MC174" s="6"/>
      <c r="MD174" s="6"/>
      <c r="ME174" s="6"/>
      <c r="MF174" s="6"/>
      <c r="MG174" s="6"/>
      <c r="MH174" s="6"/>
      <c r="MI174" s="6"/>
      <c r="MJ174" s="6"/>
      <c r="MK174" s="6"/>
      <c r="ML174" s="6"/>
      <c r="MM174" s="6"/>
      <c r="MN174" s="6"/>
      <c r="MO174" s="6"/>
      <c r="MP174" s="6"/>
      <c r="MQ174" s="6"/>
      <c r="MR174" s="6"/>
      <c r="MS174" s="6"/>
      <c r="MT174" s="6"/>
      <c r="MU174" s="6"/>
      <c r="MV174" s="6"/>
      <c r="MW174" s="6"/>
      <c r="MX174" s="6"/>
      <c r="MY174" s="6"/>
      <c r="MZ174" s="6"/>
      <c r="NA174" s="6"/>
      <c r="NB174" s="6"/>
      <c r="NC174" s="6"/>
      <c r="ND174" s="6"/>
      <c r="NE174" s="6"/>
      <c r="NF174" s="6"/>
      <c r="NG174" s="6"/>
      <c r="NH174" s="6"/>
      <c r="NI174" s="6"/>
      <c r="NJ174" s="6"/>
      <c r="NK174" s="6"/>
      <c r="NL174" s="6"/>
      <c r="NM174" s="6"/>
      <c r="NN174" s="6"/>
      <c r="NO174" s="6"/>
      <c r="NP174" s="6"/>
      <c r="NQ174" s="6"/>
      <c r="NR174" s="6"/>
      <c r="NS174" s="6"/>
      <c r="NT174" s="6"/>
      <c r="NU174" s="6"/>
      <c r="NV174" s="6"/>
      <c r="NW174" s="6"/>
      <c r="NX174" s="6"/>
      <c r="NY174" s="6"/>
      <c r="NZ174" s="6"/>
      <c r="OA174" s="6"/>
      <c r="OB174" s="6"/>
      <c r="OC174" s="6"/>
      <c r="OD174" s="6"/>
      <c r="OE174" s="6"/>
      <c r="OF174" s="6"/>
      <c r="OG174" s="6"/>
      <c r="OH174" s="6"/>
      <c r="OI174" s="6"/>
      <c r="OJ174" s="6"/>
      <c r="OK174" s="6"/>
      <c r="OL174" s="6"/>
      <c r="OM174" s="6"/>
      <c r="ON174" s="6"/>
      <c r="OO174" s="6"/>
      <c r="OP174" s="6"/>
      <c r="OQ174" s="6"/>
      <c r="OR174" s="6"/>
      <c r="OS174" s="6"/>
      <c r="OT174" s="6"/>
      <c r="OU174" s="6"/>
      <c r="OV174" s="6"/>
      <c r="OW174" s="6"/>
      <c r="OX174" s="6"/>
      <c r="OY174" s="6"/>
      <c r="OZ174" s="6"/>
      <c r="PA174" s="6"/>
      <c r="PB174" s="6"/>
      <c r="PC174" s="6"/>
      <c r="PD174" s="6"/>
      <c r="PE174" s="6"/>
      <c r="PF174" s="6"/>
      <c r="PG174" s="6"/>
      <c r="PH174" s="6"/>
      <c r="PI174" s="6"/>
      <c r="PJ174" s="6"/>
      <c r="PK174" s="6"/>
      <c r="PL174" s="6"/>
      <c r="PM174" s="6"/>
      <c r="PN174" s="6"/>
      <c r="PO174" s="6"/>
      <c r="PP174" s="6"/>
      <c r="PQ174" s="6"/>
      <c r="PR174" s="6"/>
      <c r="PS174" s="6"/>
      <c r="PT174" s="6"/>
      <c r="PU174" s="6"/>
      <c r="PV174" s="6"/>
      <c r="PW174" s="6"/>
      <c r="PX174" s="6"/>
      <c r="PY174" s="6"/>
      <c r="PZ174" s="6"/>
      <c r="QA174" s="6"/>
      <c r="QB174" s="6"/>
      <c r="QC174" s="6"/>
      <c r="QD174" s="6"/>
      <c r="QE174" s="6"/>
      <c r="QF174" s="6"/>
      <c r="QG174" s="6"/>
      <c r="QH174" s="6"/>
      <c r="QI174" s="6"/>
      <c r="QJ174" s="6"/>
      <c r="QK174" s="6"/>
      <c r="QL174" s="6"/>
      <c r="QM174" s="6"/>
      <c r="QN174" s="6"/>
      <c r="QO174" s="6"/>
      <c r="QP174" s="6"/>
      <c r="QQ174" s="6"/>
      <c r="QR174" s="6"/>
      <c r="QS174" s="6"/>
      <c r="QT174" s="6"/>
      <c r="QU174" s="6"/>
      <c r="QV174" s="6"/>
      <c r="QW174" s="6"/>
      <c r="QX174" s="6"/>
      <c r="QY174" s="6"/>
      <c r="QZ174" s="6"/>
      <c r="RA174" s="6"/>
      <c r="RB174" s="6"/>
      <c r="RC174" s="6"/>
      <c r="RD174" s="6"/>
      <c r="RE174" s="6"/>
      <c r="RF174" s="6"/>
      <c r="RG174" s="6"/>
      <c r="RH174" s="6"/>
      <c r="RI174" s="6"/>
      <c r="RJ174" s="6"/>
      <c r="RK174" s="6"/>
      <c r="RL174" s="6"/>
      <c r="RM174" s="6"/>
      <c r="RN174" s="6"/>
      <c r="RO174" s="6"/>
      <c r="RP174" s="6"/>
      <c r="RQ174" s="6"/>
      <c r="RR174" s="6"/>
      <c r="RS174" s="6"/>
      <c r="RT174" s="6"/>
      <c r="RU174" s="6"/>
      <c r="RV174" s="6"/>
      <c r="RW174" s="6"/>
      <c r="RX174" s="6"/>
      <c r="RY174" s="6"/>
      <c r="RZ174" s="6"/>
      <c r="SA174" s="6"/>
      <c r="SB174" s="6"/>
      <c r="SC174" s="6"/>
      <c r="SD174" s="6"/>
      <c r="SE174" s="6"/>
      <c r="SF174" s="6"/>
      <c r="SG174" s="6"/>
      <c r="SH174" s="6"/>
      <c r="SI174" s="6"/>
      <c r="SJ174" s="6"/>
      <c r="SK174" s="6"/>
      <c r="SL174" s="6"/>
      <c r="SM174" s="6"/>
      <c r="SN174" s="6"/>
      <c r="SO174" s="6"/>
      <c r="SP174" s="6"/>
      <c r="SQ174" s="6"/>
      <c r="SR174" s="6"/>
      <c r="SS174" s="6"/>
      <c r="ST174" s="6"/>
      <c r="SU174" s="6"/>
      <c r="SV174" s="6"/>
      <c r="SW174" s="6"/>
      <c r="SX174" s="6"/>
      <c r="SY174" s="6"/>
      <c r="SZ174" s="6"/>
      <c r="TA174" s="6"/>
      <c r="TB174" s="6"/>
      <c r="TC174" s="6"/>
      <c r="TD174" s="6"/>
      <c r="TE174" s="6"/>
      <c r="TF174" s="6"/>
      <c r="TG174" s="6"/>
      <c r="TH174" s="6"/>
      <c r="TI174" s="6"/>
      <c r="TJ174" s="6"/>
      <c r="TK174" s="6"/>
      <c r="TL174" s="6"/>
      <c r="TM174" s="6"/>
      <c r="TN174" s="6"/>
      <c r="TO174" s="6"/>
      <c r="TP174" s="6"/>
      <c r="TQ174" s="6"/>
      <c r="TR174" s="6"/>
      <c r="TS174" s="6"/>
      <c r="TT174" s="6"/>
      <c r="TU174" s="6"/>
      <c r="TV174" s="6"/>
      <c r="TW174" s="6"/>
      <c r="TX174" s="6"/>
      <c r="TY174" s="6"/>
      <c r="TZ174" s="6"/>
      <c r="UA174" s="6"/>
      <c r="UB174" s="6"/>
      <c r="UC174" s="6"/>
      <c r="UD174" s="6"/>
      <c r="UE174" s="6"/>
      <c r="UF174" s="6"/>
      <c r="UG174" s="6"/>
      <c r="UH174" s="6"/>
      <c r="UI174" s="6"/>
      <c r="UJ174" s="6"/>
      <c r="UK174" s="6"/>
      <c r="UL174" s="6"/>
      <c r="UM174" s="6"/>
      <c r="UN174" s="6"/>
      <c r="UO174" s="6"/>
      <c r="UP174" s="6"/>
      <c r="UQ174" s="6"/>
      <c r="UR174" s="6"/>
      <c r="US174" s="6"/>
      <c r="UT174" s="6"/>
      <c r="UU174" s="6"/>
      <c r="UV174" s="6"/>
      <c r="UW174" s="6"/>
      <c r="UX174" s="6"/>
      <c r="UY174" s="6"/>
      <c r="UZ174" s="6"/>
      <c r="VA174" s="6"/>
      <c r="VB174" s="6"/>
      <c r="VC174" s="6"/>
      <c r="VD174" s="6"/>
      <c r="VE174" s="6"/>
      <c r="VF174" s="6"/>
      <c r="VG174" s="6"/>
      <c r="VH174" s="6"/>
      <c r="VI174" s="6"/>
      <c r="VJ174" s="6"/>
      <c r="VK174" s="6"/>
      <c r="VL174" s="6"/>
      <c r="VM174" s="6"/>
      <c r="VN174" s="6"/>
      <c r="VO174" s="6"/>
      <c r="VP174" s="6"/>
      <c r="VQ174" s="6"/>
      <c r="VR174" s="6"/>
      <c r="VS174" s="6"/>
      <c r="VT174" s="6"/>
      <c r="VU174" s="6"/>
      <c r="VV174" s="6"/>
      <c r="VW174" s="6"/>
      <c r="VX174" s="6"/>
      <c r="VY174" s="6"/>
      <c r="VZ174" s="6"/>
      <c r="WA174" s="6"/>
      <c r="WB174" s="6"/>
      <c r="WC174" s="6"/>
      <c r="WD174" s="6"/>
      <c r="WE174" s="6"/>
      <c r="WF174" s="6"/>
      <c r="WG174" s="6"/>
      <c r="WH174" s="6"/>
      <c r="WI174" s="6"/>
      <c r="WJ174" s="6"/>
      <c r="WK174" s="6"/>
      <c r="WL174" s="6"/>
      <c r="WM174" s="6"/>
      <c r="WN174" s="6"/>
      <c r="WO174" s="6"/>
      <c r="WP174" s="6"/>
      <c r="WQ174" s="6"/>
      <c r="WR174" s="6"/>
      <c r="WS174" s="6"/>
      <c r="WT174" s="6"/>
      <c r="WU174" s="6"/>
      <c r="WV174" s="6"/>
      <c r="WW174" s="6"/>
      <c r="WX174" s="6"/>
      <c r="WY174" s="6"/>
      <c r="WZ174" s="6"/>
      <c r="XA174" s="6"/>
      <c r="XB174" s="6"/>
      <c r="XC174" s="6"/>
      <c r="XD174" s="6"/>
      <c r="XE174" s="6"/>
      <c r="XF174" s="6"/>
      <c r="XG174" s="6"/>
      <c r="XH174" s="6"/>
      <c r="XI174" s="6"/>
      <c r="XJ174" s="6"/>
      <c r="XK174" s="6"/>
      <c r="XL174" s="6"/>
      <c r="XM174" s="6"/>
      <c r="XN174" s="6"/>
      <c r="XO174" s="6"/>
      <c r="XP174" s="6"/>
      <c r="XQ174" s="6"/>
      <c r="XR174" s="6"/>
      <c r="XS174" s="6"/>
      <c r="XT174" s="6"/>
      <c r="XU174" s="6"/>
      <c r="XV174" s="6"/>
      <c r="XW174" s="6"/>
      <c r="XX174" s="6"/>
      <c r="XY174" s="6"/>
      <c r="XZ174" s="6"/>
      <c r="YA174" s="6"/>
      <c r="YB174" s="6"/>
      <c r="YC174" s="6"/>
      <c r="YD174" s="6"/>
      <c r="YE174" s="6"/>
      <c r="YF174" s="6"/>
      <c r="YG174" s="6"/>
      <c r="YH174" s="6"/>
      <c r="YI174" s="6"/>
      <c r="YJ174" s="6"/>
      <c r="YK174" s="6"/>
      <c r="YL174" s="6"/>
      <c r="YM174" s="6"/>
      <c r="YN174" s="6"/>
      <c r="YO174" s="6"/>
      <c r="YP174" s="6"/>
      <c r="YQ174" s="6"/>
      <c r="YR174" s="6"/>
      <c r="YS174" s="6"/>
      <c r="YT174" s="6"/>
      <c r="YU174" s="6"/>
      <c r="YV174" s="6"/>
      <c r="YW174" s="6"/>
      <c r="YX174" s="6"/>
      <c r="YY174" s="6"/>
      <c r="YZ174" s="6"/>
      <c r="ZA174" s="6"/>
      <c r="ZB174" s="6"/>
      <c r="ZC174" s="6"/>
      <c r="ZD174" s="6"/>
      <c r="ZE174" s="6"/>
      <c r="ZF174" s="6"/>
      <c r="ZG174" s="6"/>
      <c r="ZH174" s="6"/>
      <c r="ZI174" s="6"/>
      <c r="ZJ174" s="6"/>
      <c r="ZK174" s="6"/>
      <c r="ZL174" s="6"/>
      <c r="ZM174" s="6"/>
      <c r="ZN174" s="6"/>
      <c r="ZO174" s="6"/>
      <c r="ZP174" s="6"/>
      <c r="ZQ174" s="6"/>
      <c r="ZR174" s="6"/>
      <c r="ZS174" s="6"/>
      <c r="ZT174" s="6"/>
      <c r="ZU174" s="6"/>
      <c r="ZV174" s="6"/>
      <c r="ZW174" s="6"/>
      <c r="ZX174" s="6"/>
      <c r="ZY174" s="6"/>
      <c r="ZZ174" s="6"/>
      <c r="AAA174" s="6"/>
      <c r="AAB174" s="6"/>
      <c r="AAC174" s="6"/>
      <c r="AAD174" s="6"/>
      <c r="AAE174" s="6"/>
      <c r="AAF174" s="6"/>
      <c r="AAG174" s="6"/>
      <c r="AAH174" s="6"/>
      <c r="AAI174" s="6"/>
      <c r="AAJ174" s="6"/>
      <c r="AAK174" s="6"/>
      <c r="AAL174" s="6"/>
      <c r="AAM174" s="6"/>
      <c r="AAN174" s="6"/>
      <c r="AAO174" s="6"/>
      <c r="AAP174" s="6"/>
      <c r="AAQ174" s="6"/>
      <c r="AAR174" s="6"/>
      <c r="AAS174" s="6"/>
      <c r="AAT174" s="6"/>
      <c r="AAU174" s="6"/>
      <c r="AAV174" s="6"/>
      <c r="AAW174" s="6"/>
      <c r="AAX174" s="6"/>
      <c r="AAY174" s="6"/>
      <c r="AAZ174" s="6"/>
      <c r="ABA174" s="6"/>
      <c r="ABB174" s="6"/>
      <c r="ABC174" s="6"/>
      <c r="ABD174" s="6"/>
      <c r="ABE174" s="6"/>
      <c r="ABF174" s="6"/>
      <c r="ABG174" s="6"/>
      <c r="ABH174" s="6"/>
      <c r="ABI174" s="6"/>
      <c r="ABJ174" s="6"/>
      <c r="ABK174" s="6"/>
      <c r="ABL174" s="6"/>
      <c r="ABM174" s="6"/>
      <c r="ABN174" s="6"/>
      <c r="ABO174" s="6"/>
      <c r="ABP174" s="6"/>
      <c r="ABQ174" s="6"/>
      <c r="ABR174" s="6"/>
      <c r="ABS174" s="6"/>
      <c r="ABT174" s="6"/>
      <c r="ABU174" s="6"/>
      <c r="ABV174" s="6"/>
      <c r="ABW174" s="6"/>
      <c r="ABX174" s="6"/>
      <c r="ABY174" s="6"/>
      <c r="ABZ174" s="6"/>
      <c r="ACA174" s="6"/>
      <c r="ACB174" s="6"/>
      <c r="ACC174" s="6"/>
      <c r="ACD174" s="6"/>
      <c r="ACE174" s="6"/>
      <c r="ACF174" s="6"/>
      <c r="ACG174" s="6"/>
      <c r="ACH174" s="6"/>
      <c r="ACI174" s="6"/>
      <c r="ACJ174" s="6"/>
      <c r="ACK174" s="6"/>
      <c r="ACL174" s="6"/>
      <c r="ACM174" s="6"/>
      <c r="ACN174" s="6"/>
      <c r="ACO174" s="6"/>
      <c r="ACP174" s="6"/>
      <c r="ACQ174" s="6"/>
      <c r="ACR174" s="6"/>
      <c r="ACS174" s="6"/>
      <c r="ACT174" s="6"/>
      <c r="ACU174" s="6"/>
      <c r="ACV174" s="6"/>
      <c r="ACW174" s="6"/>
      <c r="ACX174" s="6"/>
      <c r="ACY174" s="6"/>
      <c r="ACZ174" s="6"/>
      <c r="ADA174" s="6"/>
      <c r="ADB174" s="6"/>
      <c r="ADC174" s="6"/>
      <c r="ADD174" s="6"/>
      <c r="ADE174" s="6"/>
      <c r="ADF174" s="6"/>
      <c r="ADG174" s="6"/>
      <c r="ADH174" s="6"/>
      <c r="ADI174" s="6"/>
      <c r="ADJ174" s="6"/>
    </row>
    <row r="175" spans="1:790" s="291" customFormat="1" x14ac:dyDescent="0.3">
      <c r="A175" s="399"/>
      <c r="B175" s="571" t="s">
        <v>153</v>
      </c>
      <c r="C175" s="366"/>
      <c r="D175" s="367">
        <f>2.4+1+2.6</f>
        <v>6</v>
      </c>
      <c r="E175" s="367">
        <f>1.8+1+2.6</f>
        <v>5.4</v>
      </c>
      <c r="F175" s="362"/>
      <c r="G175" s="362">
        <v>2.8</v>
      </c>
      <c r="H175" s="362">
        <f>+PRODUCT(C175:G175)</f>
        <v>90.720000000000013</v>
      </c>
      <c r="I175" s="369" t="s">
        <v>22</v>
      </c>
      <c r="J175" s="362">
        <f>+PRODUCT(C175:G175)</f>
        <v>90.720000000000013</v>
      </c>
      <c r="K175" s="363">
        <v>8</v>
      </c>
      <c r="L175" s="370">
        <f t="shared" si="171"/>
        <v>725.7600000000001</v>
      </c>
      <c r="M175" s="490">
        <f t="shared" si="172"/>
        <v>6.68</v>
      </c>
      <c r="N175" s="489">
        <f t="shared" si="138"/>
        <v>606.00960000000009</v>
      </c>
      <c r="O175" s="308"/>
      <c r="Q175" s="497"/>
      <c r="R175" s="481">
        <f t="shared" si="148"/>
        <v>90.720000000000013</v>
      </c>
      <c r="S175" s="514">
        <f>S174</f>
        <v>3.5</v>
      </c>
      <c r="T175" s="515">
        <f t="shared" si="143"/>
        <v>317.52000000000004</v>
      </c>
      <c r="U175" s="482">
        <f t="shared" si="144"/>
        <v>90.720000000000013</v>
      </c>
      <c r="V175" s="514"/>
      <c r="W175" s="515" t="str">
        <f t="shared" si="145"/>
        <v/>
      </c>
      <c r="X175" s="507">
        <f t="shared" si="173"/>
        <v>3.5</v>
      </c>
      <c r="Y175" s="520">
        <f t="shared" si="174"/>
        <v>3.1799999999999997</v>
      </c>
      <c r="Z175" s="521">
        <f t="shared" si="175"/>
        <v>0.47604790419161674</v>
      </c>
      <c r="AA175" s="471"/>
      <c r="AB175" s="471"/>
      <c r="AC175" s="471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6"/>
      <c r="KZ175" s="6"/>
      <c r="LA175" s="6"/>
      <c r="LB175" s="6"/>
      <c r="LC175" s="6"/>
      <c r="LD175" s="6"/>
      <c r="LE175" s="6"/>
      <c r="LF175" s="6"/>
      <c r="LG175" s="6"/>
      <c r="LH175" s="6"/>
      <c r="LI175" s="6"/>
      <c r="LJ175" s="6"/>
      <c r="LK175" s="6"/>
      <c r="LL175" s="6"/>
      <c r="LM175" s="6"/>
      <c r="LN175" s="6"/>
      <c r="LO175" s="6"/>
      <c r="LP175" s="6"/>
      <c r="LQ175" s="6"/>
      <c r="LR175" s="6"/>
      <c r="LS175" s="6"/>
      <c r="LT175" s="6"/>
      <c r="LU175" s="6"/>
      <c r="LV175" s="6"/>
      <c r="LW175" s="6"/>
      <c r="LX175" s="6"/>
      <c r="LY175" s="6"/>
      <c r="LZ175" s="6"/>
      <c r="MA175" s="6"/>
      <c r="MB175" s="6"/>
      <c r="MC175" s="6"/>
      <c r="MD175" s="6"/>
      <c r="ME175" s="6"/>
      <c r="MF175" s="6"/>
      <c r="MG175" s="6"/>
      <c r="MH175" s="6"/>
      <c r="MI175" s="6"/>
      <c r="MJ175" s="6"/>
      <c r="MK175" s="6"/>
      <c r="ML175" s="6"/>
      <c r="MM175" s="6"/>
      <c r="MN175" s="6"/>
      <c r="MO175" s="6"/>
      <c r="MP175" s="6"/>
      <c r="MQ175" s="6"/>
      <c r="MR175" s="6"/>
      <c r="MS175" s="6"/>
      <c r="MT175" s="6"/>
      <c r="MU175" s="6"/>
      <c r="MV175" s="6"/>
      <c r="MW175" s="6"/>
      <c r="MX175" s="6"/>
      <c r="MY175" s="6"/>
      <c r="MZ175" s="6"/>
      <c r="NA175" s="6"/>
      <c r="NB175" s="6"/>
      <c r="NC175" s="6"/>
      <c r="ND175" s="6"/>
      <c r="NE175" s="6"/>
      <c r="NF175" s="6"/>
      <c r="NG175" s="6"/>
      <c r="NH175" s="6"/>
      <c r="NI175" s="6"/>
      <c r="NJ175" s="6"/>
      <c r="NK175" s="6"/>
      <c r="NL175" s="6"/>
      <c r="NM175" s="6"/>
      <c r="NN175" s="6"/>
      <c r="NO175" s="6"/>
      <c r="NP175" s="6"/>
      <c r="NQ175" s="6"/>
      <c r="NR175" s="6"/>
      <c r="NS175" s="6"/>
      <c r="NT175" s="6"/>
      <c r="NU175" s="6"/>
      <c r="NV175" s="6"/>
      <c r="NW175" s="6"/>
      <c r="NX175" s="6"/>
      <c r="NY175" s="6"/>
      <c r="NZ175" s="6"/>
      <c r="OA175" s="6"/>
      <c r="OB175" s="6"/>
      <c r="OC175" s="6"/>
      <c r="OD175" s="6"/>
      <c r="OE175" s="6"/>
      <c r="OF175" s="6"/>
      <c r="OG175" s="6"/>
      <c r="OH175" s="6"/>
      <c r="OI175" s="6"/>
      <c r="OJ175" s="6"/>
      <c r="OK175" s="6"/>
      <c r="OL175" s="6"/>
      <c r="OM175" s="6"/>
      <c r="ON175" s="6"/>
      <c r="OO175" s="6"/>
      <c r="OP175" s="6"/>
      <c r="OQ175" s="6"/>
      <c r="OR175" s="6"/>
      <c r="OS175" s="6"/>
      <c r="OT175" s="6"/>
      <c r="OU175" s="6"/>
      <c r="OV175" s="6"/>
      <c r="OW175" s="6"/>
      <c r="OX175" s="6"/>
      <c r="OY175" s="6"/>
      <c r="OZ175" s="6"/>
      <c r="PA175" s="6"/>
      <c r="PB175" s="6"/>
      <c r="PC175" s="6"/>
      <c r="PD175" s="6"/>
      <c r="PE175" s="6"/>
      <c r="PF175" s="6"/>
      <c r="PG175" s="6"/>
      <c r="PH175" s="6"/>
      <c r="PI175" s="6"/>
      <c r="PJ175" s="6"/>
      <c r="PK175" s="6"/>
      <c r="PL175" s="6"/>
      <c r="PM175" s="6"/>
      <c r="PN175" s="6"/>
      <c r="PO175" s="6"/>
      <c r="PP175" s="6"/>
      <c r="PQ175" s="6"/>
      <c r="PR175" s="6"/>
      <c r="PS175" s="6"/>
      <c r="PT175" s="6"/>
      <c r="PU175" s="6"/>
      <c r="PV175" s="6"/>
      <c r="PW175" s="6"/>
      <c r="PX175" s="6"/>
      <c r="PY175" s="6"/>
      <c r="PZ175" s="6"/>
      <c r="QA175" s="6"/>
      <c r="QB175" s="6"/>
      <c r="QC175" s="6"/>
      <c r="QD175" s="6"/>
      <c r="QE175" s="6"/>
      <c r="QF175" s="6"/>
      <c r="QG175" s="6"/>
      <c r="QH175" s="6"/>
      <c r="QI175" s="6"/>
      <c r="QJ175" s="6"/>
      <c r="QK175" s="6"/>
      <c r="QL175" s="6"/>
      <c r="QM175" s="6"/>
      <c r="QN175" s="6"/>
      <c r="QO175" s="6"/>
      <c r="QP175" s="6"/>
      <c r="QQ175" s="6"/>
      <c r="QR175" s="6"/>
      <c r="QS175" s="6"/>
      <c r="QT175" s="6"/>
      <c r="QU175" s="6"/>
      <c r="QV175" s="6"/>
      <c r="QW175" s="6"/>
      <c r="QX175" s="6"/>
      <c r="QY175" s="6"/>
      <c r="QZ175" s="6"/>
      <c r="RA175" s="6"/>
      <c r="RB175" s="6"/>
      <c r="RC175" s="6"/>
      <c r="RD175" s="6"/>
      <c r="RE175" s="6"/>
      <c r="RF175" s="6"/>
      <c r="RG175" s="6"/>
      <c r="RH175" s="6"/>
      <c r="RI175" s="6"/>
      <c r="RJ175" s="6"/>
      <c r="RK175" s="6"/>
      <c r="RL175" s="6"/>
      <c r="RM175" s="6"/>
      <c r="RN175" s="6"/>
      <c r="RO175" s="6"/>
      <c r="RP175" s="6"/>
      <c r="RQ175" s="6"/>
      <c r="RR175" s="6"/>
      <c r="RS175" s="6"/>
      <c r="RT175" s="6"/>
      <c r="RU175" s="6"/>
      <c r="RV175" s="6"/>
      <c r="RW175" s="6"/>
      <c r="RX175" s="6"/>
      <c r="RY175" s="6"/>
      <c r="RZ175" s="6"/>
      <c r="SA175" s="6"/>
      <c r="SB175" s="6"/>
      <c r="SC175" s="6"/>
      <c r="SD175" s="6"/>
      <c r="SE175" s="6"/>
      <c r="SF175" s="6"/>
      <c r="SG175" s="6"/>
      <c r="SH175" s="6"/>
      <c r="SI175" s="6"/>
      <c r="SJ175" s="6"/>
      <c r="SK175" s="6"/>
      <c r="SL175" s="6"/>
      <c r="SM175" s="6"/>
      <c r="SN175" s="6"/>
      <c r="SO175" s="6"/>
      <c r="SP175" s="6"/>
      <c r="SQ175" s="6"/>
      <c r="SR175" s="6"/>
      <c r="SS175" s="6"/>
      <c r="ST175" s="6"/>
      <c r="SU175" s="6"/>
      <c r="SV175" s="6"/>
      <c r="SW175" s="6"/>
      <c r="SX175" s="6"/>
      <c r="SY175" s="6"/>
      <c r="SZ175" s="6"/>
      <c r="TA175" s="6"/>
      <c r="TB175" s="6"/>
      <c r="TC175" s="6"/>
      <c r="TD175" s="6"/>
      <c r="TE175" s="6"/>
      <c r="TF175" s="6"/>
      <c r="TG175" s="6"/>
      <c r="TH175" s="6"/>
      <c r="TI175" s="6"/>
      <c r="TJ175" s="6"/>
      <c r="TK175" s="6"/>
      <c r="TL175" s="6"/>
      <c r="TM175" s="6"/>
      <c r="TN175" s="6"/>
      <c r="TO175" s="6"/>
      <c r="TP175" s="6"/>
      <c r="TQ175" s="6"/>
      <c r="TR175" s="6"/>
      <c r="TS175" s="6"/>
      <c r="TT175" s="6"/>
      <c r="TU175" s="6"/>
      <c r="TV175" s="6"/>
      <c r="TW175" s="6"/>
      <c r="TX175" s="6"/>
      <c r="TY175" s="6"/>
      <c r="TZ175" s="6"/>
      <c r="UA175" s="6"/>
      <c r="UB175" s="6"/>
      <c r="UC175" s="6"/>
      <c r="UD175" s="6"/>
      <c r="UE175" s="6"/>
      <c r="UF175" s="6"/>
      <c r="UG175" s="6"/>
      <c r="UH175" s="6"/>
      <c r="UI175" s="6"/>
      <c r="UJ175" s="6"/>
      <c r="UK175" s="6"/>
      <c r="UL175" s="6"/>
      <c r="UM175" s="6"/>
      <c r="UN175" s="6"/>
      <c r="UO175" s="6"/>
      <c r="UP175" s="6"/>
      <c r="UQ175" s="6"/>
      <c r="UR175" s="6"/>
      <c r="US175" s="6"/>
      <c r="UT175" s="6"/>
      <c r="UU175" s="6"/>
      <c r="UV175" s="6"/>
      <c r="UW175" s="6"/>
      <c r="UX175" s="6"/>
      <c r="UY175" s="6"/>
      <c r="UZ175" s="6"/>
      <c r="VA175" s="6"/>
      <c r="VB175" s="6"/>
      <c r="VC175" s="6"/>
      <c r="VD175" s="6"/>
      <c r="VE175" s="6"/>
      <c r="VF175" s="6"/>
      <c r="VG175" s="6"/>
      <c r="VH175" s="6"/>
      <c r="VI175" s="6"/>
      <c r="VJ175" s="6"/>
      <c r="VK175" s="6"/>
      <c r="VL175" s="6"/>
      <c r="VM175" s="6"/>
      <c r="VN175" s="6"/>
      <c r="VO175" s="6"/>
      <c r="VP175" s="6"/>
      <c r="VQ175" s="6"/>
      <c r="VR175" s="6"/>
      <c r="VS175" s="6"/>
      <c r="VT175" s="6"/>
      <c r="VU175" s="6"/>
      <c r="VV175" s="6"/>
      <c r="VW175" s="6"/>
      <c r="VX175" s="6"/>
      <c r="VY175" s="6"/>
      <c r="VZ175" s="6"/>
      <c r="WA175" s="6"/>
      <c r="WB175" s="6"/>
      <c r="WC175" s="6"/>
      <c r="WD175" s="6"/>
      <c r="WE175" s="6"/>
      <c r="WF175" s="6"/>
      <c r="WG175" s="6"/>
      <c r="WH175" s="6"/>
      <c r="WI175" s="6"/>
      <c r="WJ175" s="6"/>
      <c r="WK175" s="6"/>
      <c r="WL175" s="6"/>
      <c r="WM175" s="6"/>
      <c r="WN175" s="6"/>
      <c r="WO175" s="6"/>
      <c r="WP175" s="6"/>
      <c r="WQ175" s="6"/>
      <c r="WR175" s="6"/>
      <c r="WS175" s="6"/>
      <c r="WT175" s="6"/>
      <c r="WU175" s="6"/>
      <c r="WV175" s="6"/>
      <c r="WW175" s="6"/>
      <c r="WX175" s="6"/>
      <c r="WY175" s="6"/>
      <c r="WZ175" s="6"/>
      <c r="XA175" s="6"/>
      <c r="XB175" s="6"/>
      <c r="XC175" s="6"/>
      <c r="XD175" s="6"/>
      <c r="XE175" s="6"/>
      <c r="XF175" s="6"/>
      <c r="XG175" s="6"/>
      <c r="XH175" s="6"/>
      <c r="XI175" s="6"/>
      <c r="XJ175" s="6"/>
      <c r="XK175" s="6"/>
      <c r="XL175" s="6"/>
      <c r="XM175" s="6"/>
      <c r="XN175" s="6"/>
      <c r="XO175" s="6"/>
      <c r="XP175" s="6"/>
      <c r="XQ175" s="6"/>
      <c r="XR175" s="6"/>
      <c r="XS175" s="6"/>
      <c r="XT175" s="6"/>
      <c r="XU175" s="6"/>
      <c r="XV175" s="6"/>
      <c r="XW175" s="6"/>
      <c r="XX175" s="6"/>
      <c r="XY175" s="6"/>
      <c r="XZ175" s="6"/>
      <c r="YA175" s="6"/>
      <c r="YB175" s="6"/>
      <c r="YC175" s="6"/>
      <c r="YD175" s="6"/>
      <c r="YE175" s="6"/>
      <c r="YF175" s="6"/>
      <c r="YG175" s="6"/>
      <c r="YH175" s="6"/>
      <c r="YI175" s="6"/>
      <c r="YJ175" s="6"/>
      <c r="YK175" s="6"/>
      <c r="YL175" s="6"/>
      <c r="YM175" s="6"/>
      <c r="YN175" s="6"/>
      <c r="YO175" s="6"/>
      <c r="YP175" s="6"/>
      <c r="YQ175" s="6"/>
      <c r="YR175" s="6"/>
      <c r="YS175" s="6"/>
      <c r="YT175" s="6"/>
      <c r="YU175" s="6"/>
      <c r="YV175" s="6"/>
      <c r="YW175" s="6"/>
      <c r="YX175" s="6"/>
      <c r="YY175" s="6"/>
      <c r="YZ175" s="6"/>
      <c r="ZA175" s="6"/>
      <c r="ZB175" s="6"/>
      <c r="ZC175" s="6"/>
      <c r="ZD175" s="6"/>
      <c r="ZE175" s="6"/>
      <c r="ZF175" s="6"/>
      <c r="ZG175" s="6"/>
      <c r="ZH175" s="6"/>
      <c r="ZI175" s="6"/>
      <c r="ZJ175" s="6"/>
      <c r="ZK175" s="6"/>
      <c r="ZL175" s="6"/>
      <c r="ZM175" s="6"/>
      <c r="ZN175" s="6"/>
      <c r="ZO175" s="6"/>
      <c r="ZP175" s="6"/>
      <c r="ZQ175" s="6"/>
      <c r="ZR175" s="6"/>
      <c r="ZS175" s="6"/>
      <c r="ZT175" s="6"/>
      <c r="ZU175" s="6"/>
      <c r="ZV175" s="6"/>
      <c r="ZW175" s="6"/>
      <c r="ZX175" s="6"/>
      <c r="ZY175" s="6"/>
      <c r="ZZ175" s="6"/>
      <c r="AAA175" s="6"/>
      <c r="AAB175" s="6"/>
      <c r="AAC175" s="6"/>
      <c r="AAD175" s="6"/>
      <c r="AAE175" s="6"/>
      <c r="AAF175" s="6"/>
      <c r="AAG175" s="6"/>
      <c r="AAH175" s="6"/>
      <c r="AAI175" s="6"/>
      <c r="AAJ175" s="6"/>
      <c r="AAK175" s="6"/>
      <c r="AAL175" s="6"/>
      <c r="AAM175" s="6"/>
      <c r="AAN175" s="6"/>
      <c r="AAO175" s="6"/>
      <c r="AAP175" s="6"/>
      <c r="AAQ175" s="6"/>
      <c r="AAR175" s="6"/>
      <c r="AAS175" s="6"/>
      <c r="AAT175" s="6"/>
      <c r="AAU175" s="6"/>
      <c r="AAV175" s="6"/>
      <c r="AAW175" s="6"/>
      <c r="AAX175" s="6"/>
      <c r="AAY175" s="6"/>
      <c r="AAZ175" s="6"/>
      <c r="ABA175" s="6"/>
      <c r="ABB175" s="6"/>
      <c r="ABC175" s="6"/>
      <c r="ABD175" s="6"/>
      <c r="ABE175" s="6"/>
      <c r="ABF175" s="6"/>
      <c r="ABG175" s="6"/>
      <c r="ABH175" s="6"/>
      <c r="ABI175" s="6"/>
      <c r="ABJ175" s="6"/>
      <c r="ABK175" s="6"/>
      <c r="ABL175" s="6"/>
      <c r="ABM175" s="6"/>
      <c r="ABN175" s="6"/>
      <c r="ABO175" s="6"/>
      <c r="ABP175" s="6"/>
      <c r="ABQ175" s="6"/>
      <c r="ABR175" s="6"/>
      <c r="ABS175" s="6"/>
      <c r="ABT175" s="6"/>
      <c r="ABU175" s="6"/>
      <c r="ABV175" s="6"/>
      <c r="ABW175" s="6"/>
      <c r="ABX175" s="6"/>
      <c r="ABY175" s="6"/>
      <c r="ABZ175" s="6"/>
      <c r="ACA175" s="6"/>
      <c r="ACB175" s="6"/>
      <c r="ACC175" s="6"/>
      <c r="ACD175" s="6"/>
      <c r="ACE175" s="6"/>
      <c r="ACF175" s="6"/>
      <c r="ACG175" s="6"/>
      <c r="ACH175" s="6"/>
      <c r="ACI175" s="6"/>
      <c r="ACJ175" s="6"/>
      <c r="ACK175" s="6"/>
      <c r="ACL175" s="6"/>
      <c r="ACM175" s="6"/>
      <c r="ACN175" s="6"/>
      <c r="ACO175" s="6"/>
      <c r="ACP175" s="6"/>
      <c r="ACQ175" s="6"/>
      <c r="ACR175" s="6"/>
      <c r="ACS175" s="6"/>
      <c r="ACT175" s="6"/>
      <c r="ACU175" s="6"/>
      <c r="ACV175" s="6"/>
      <c r="ACW175" s="6"/>
      <c r="ACX175" s="6"/>
      <c r="ACY175" s="6"/>
      <c r="ACZ175" s="6"/>
      <c r="ADA175" s="6"/>
      <c r="ADB175" s="6"/>
      <c r="ADC175" s="6"/>
      <c r="ADD175" s="6"/>
      <c r="ADE175" s="6"/>
      <c r="ADF175" s="6"/>
      <c r="ADG175" s="6"/>
      <c r="ADH175" s="6"/>
      <c r="ADI175" s="6"/>
      <c r="ADJ175" s="6"/>
    </row>
    <row r="176" spans="1:790" s="291" customFormat="1" x14ac:dyDescent="0.3">
      <c r="A176" s="399"/>
      <c r="B176" s="430"/>
      <c r="C176" s="366"/>
      <c r="D176" s="367"/>
      <c r="E176" s="367"/>
      <c r="F176" s="362"/>
      <c r="G176" s="362"/>
      <c r="H176" s="362"/>
      <c r="I176" s="369"/>
      <c r="J176" s="362"/>
      <c r="K176" s="363"/>
      <c r="L176" s="370"/>
      <c r="M176" s="490"/>
      <c r="N176" s="489" t="str">
        <f t="shared" si="138"/>
        <v/>
      </c>
      <c r="O176" s="308"/>
      <c r="Q176" s="497"/>
      <c r="R176" s="481"/>
      <c r="S176" s="514"/>
      <c r="T176" s="515" t="str">
        <f t="shared" si="143"/>
        <v/>
      </c>
      <c r="U176" s="482" t="str">
        <f t="shared" si="144"/>
        <v/>
      </c>
      <c r="V176" s="514"/>
      <c r="W176" s="515" t="str">
        <f t="shared" si="145"/>
        <v/>
      </c>
      <c r="X176" s="507"/>
      <c r="Y176" s="507"/>
      <c r="Z176" s="478"/>
      <c r="AA176" s="471"/>
      <c r="AB176" s="471"/>
      <c r="AC176" s="471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6"/>
      <c r="KZ176" s="6"/>
      <c r="LA176" s="6"/>
      <c r="LB176" s="6"/>
      <c r="LC176" s="6"/>
      <c r="LD176" s="6"/>
      <c r="LE176" s="6"/>
      <c r="LF176" s="6"/>
      <c r="LG176" s="6"/>
      <c r="LH176" s="6"/>
      <c r="LI176" s="6"/>
      <c r="LJ176" s="6"/>
      <c r="LK176" s="6"/>
      <c r="LL176" s="6"/>
      <c r="LM176" s="6"/>
      <c r="LN176" s="6"/>
      <c r="LO176" s="6"/>
      <c r="LP176" s="6"/>
      <c r="LQ176" s="6"/>
      <c r="LR176" s="6"/>
      <c r="LS176" s="6"/>
      <c r="LT176" s="6"/>
      <c r="LU176" s="6"/>
      <c r="LV176" s="6"/>
      <c r="LW176" s="6"/>
      <c r="LX176" s="6"/>
      <c r="LY176" s="6"/>
      <c r="LZ176" s="6"/>
      <c r="MA176" s="6"/>
      <c r="MB176" s="6"/>
      <c r="MC176" s="6"/>
      <c r="MD176" s="6"/>
      <c r="ME176" s="6"/>
      <c r="MF176" s="6"/>
      <c r="MG176" s="6"/>
      <c r="MH176" s="6"/>
      <c r="MI176" s="6"/>
      <c r="MJ176" s="6"/>
      <c r="MK176" s="6"/>
      <c r="ML176" s="6"/>
      <c r="MM176" s="6"/>
      <c r="MN176" s="6"/>
      <c r="MO176" s="6"/>
      <c r="MP176" s="6"/>
      <c r="MQ176" s="6"/>
      <c r="MR176" s="6"/>
      <c r="MS176" s="6"/>
      <c r="MT176" s="6"/>
      <c r="MU176" s="6"/>
      <c r="MV176" s="6"/>
      <c r="MW176" s="6"/>
      <c r="MX176" s="6"/>
      <c r="MY176" s="6"/>
      <c r="MZ176" s="6"/>
      <c r="NA176" s="6"/>
      <c r="NB176" s="6"/>
      <c r="NC176" s="6"/>
      <c r="ND176" s="6"/>
      <c r="NE176" s="6"/>
      <c r="NF176" s="6"/>
      <c r="NG176" s="6"/>
      <c r="NH176" s="6"/>
      <c r="NI176" s="6"/>
      <c r="NJ176" s="6"/>
      <c r="NK176" s="6"/>
      <c r="NL176" s="6"/>
      <c r="NM176" s="6"/>
      <c r="NN176" s="6"/>
      <c r="NO176" s="6"/>
      <c r="NP176" s="6"/>
      <c r="NQ176" s="6"/>
      <c r="NR176" s="6"/>
      <c r="NS176" s="6"/>
      <c r="NT176" s="6"/>
      <c r="NU176" s="6"/>
      <c r="NV176" s="6"/>
      <c r="NW176" s="6"/>
      <c r="NX176" s="6"/>
      <c r="NY176" s="6"/>
      <c r="NZ176" s="6"/>
      <c r="OA176" s="6"/>
      <c r="OB176" s="6"/>
      <c r="OC176" s="6"/>
      <c r="OD176" s="6"/>
      <c r="OE176" s="6"/>
      <c r="OF176" s="6"/>
      <c r="OG176" s="6"/>
      <c r="OH176" s="6"/>
      <c r="OI176" s="6"/>
      <c r="OJ176" s="6"/>
      <c r="OK176" s="6"/>
      <c r="OL176" s="6"/>
      <c r="OM176" s="6"/>
      <c r="ON176" s="6"/>
      <c r="OO176" s="6"/>
      <c r="OP176" s="6"/>
      <c r="OQ176" s="6"/>
      <c r="OR176" s="6"/>
      <c r="OS176" s="6"/>
      <c r="OT176" s="6"/>
      <c r="OU176" s="6"/>
      <c r="OV176" s="6"/>
      <c r="OW176" s="6"/>
      <c r="OX176" s="6"/>
      <c r="OY176" s="6"/>
      <c r="OZ176" s="6"/>
      <c r="PA176" s="6"/>
      <c r="PB176" s="6"/>
      <c r="PC176" s="6"/>
      <c r="PD176" s="6"/>
      <c r="PE176" s="6"/>
      <c r="PF176" s="6"/>
      <c r="PG176" s="6"/>
      <c r="PH176" s="6"/>
      <c r="PI176" s="6"/>
      <c r="PJ176" s="6"/>
      <c r="PK176" s="6"/>
      <c r="PL176" s="6"/>
      <c r="PM176" s="6"/>
      <c r="PN176" s="6"/>
      <c r="PO176" s="6"/>
      <c r="PP176" s="6"/>
      <c r="PQ176" s="6"/>
      <c r="PR176" s="6"/>
      <c r="PS176" s="6"/>
      <c r="PT176" s="6"/>
      <c r="PU176" s="6"/>
      <c r="PV176" s="6"/>
      <c r="PW176" s="6"/>
      <c r="PX176" s="6"/>
      <c r="PY176" s="6"/>
      <c r="PZ176" s="6"/>
      <c r="QA176" s="6"/>
      <c r="QB176" s="6"/>
      <c r="QC176" s="6"/>
      <c r="QD176" s="6"/>
      <c r="QE176" s="6"/>
      <c r="QF176" s="6"/>
      <c r="QG176" s="6"/>
      <c r="QH176" s="6"/>
      <c r="QI176" s="6"/>
      <c r="QJ176" s="6"/>
      <c r="QK176" s="6"/>
      <c r="QL176" s="6"/>
      <c r="QM176" s="6"/>
      <c r="QN176" s="6"/>
      <c r="QO176" s="6"/>
      <c r="QP176" s="6"/>
      <c r="QQ176" s="6"/>
      <c r="QR176" s="6"/>
      <c r="QS176" s="6"/>
      <c r="QT176" s="6"/>
      <c r="QU176" s="6"/>
      <c r="QV176" s="6"/>
      <c r="QW176" s="6"/>
      <c r="QX176" s="6"/>
      <c r="QY176" s="6"/>
      <c r="QZ176" s="6"/>
      <c r="RA176" s="6"/>
      <c r="RB176" s="6"/>
      <c r="RC176" s="6"/>
      <c r="RD176" s="6"/>
      <c r="RE176" s="6"/>
      <c r="RF176" s="6"/>
      <c r="RG176" s="6"/>
      <c r="RH176" s="6"/>
      <c r="RI176" s="6"/>
      <c r="RJ176" s="6"/>
      <c r="RK176" s="6"/>
      <c r="RL176" s="6"/>
      <c r="RM176" s="6"/>
      <c r="RN176" s="6"/>
      <c r="RO176" s="6"/>
      <c r="RP176" s="6"/>
      <c r="RQ176" s="6"/>
      <c r="RR176" s="6"/>
      <c r="RS176" s="6"/>
      <c r="RT176" s="6"/>
      <c r="RU176" s="6"/>
      <c r="RV176" s="6"/>
      <c r="RW176" s="6"/>
      <c r="RX176" s="6"/>
      <c r="RY176" s="6"/>
      <c r="RZ176" s="6"/>
      <c r="SA176" s="6"/>
      <c r="SB176" s="6"/>
      <c r="SC176" s="6"/>
      <c r="SD176" s="6"/>
      <c r="SE176" s="6"/>
      <c r="SF176" s="6"/>
      <c r="SG176" s="6"/>
      <c r="SH176" s="6"/>
      <c r="SI176" s="6"/>
      <c r="SJ176" s="6"/>
      <c r="SK176" s="6"/>
      <c r="SL176" s="6"/>
      <c r="SM176" s="6"/>
      <c r="SN176" s="6"/>
      <c r="SO176" s="6"/>
      <c r="SP176" s="6"/>
      <c r="SQ176" s="6"/>
      <c r="SR176" s="6"/>
      <c r="SS176" s="6"/>
      <c r="ST176" s="6"/>
      <c r="SU176" s="6"/>
      <c r="SV176" s="6"/>
      <c r="SW176" s="6"/>
      <c r="SX176" s="6"/>
      <c r="SY176" s="6"/>
      <c r="SZ176" s="6"/>
      <c r="TA176" s="6"/>
      <c r="TB176" s="6"/>
      <c r="TC176" s="6"/>
      <c r="TD176" s="6"/>
      <c r="TE176" s="6"/>
      <c r="TF176" s="6"/>
      <c r="TG176" s="6"/>
      <c r="TH176" s="6"/>
      <c r="TI176" s="6"/>
      <c r="TJ176" s="6"/>
      <c r="TK176" s="6"/>
      <c r="TL176" s="6"/>
      <c r="TM176" s="6"/>
      <c r="TN176" s="6"/>
      <c r="TO176" s="6"/>
      <c r="TP176" s="6"/>
      <c r="TQ176" s="6"/>
      <c r="TR176" s="6"/>
      <c r="TS176" s="6"/>
      <c r="TT176" s="6"/>
      <c r="TU176" s="6"/>
      <c r="TV176" s="6"/>
      <c r="TW176" s="6"/>
      <c r="TX176" s="6"/>
      <c r="TY176" s="6"/>
      <c r="TZ176" s="6"/>
      <c r="UA176" s="6"/>
      <c r="UB176" s="6"/>
      <c r="UC176" s="6"/>
      <c r="UD176" s="6"/>
      <c r="UE176" s="6"/>
      <c r="UF176" s="6"/>
      <c r="UG176" s="6"/>
      <c r="UH176" s="6"/>
      <c r="UI176" s="6"/>
      <c r="UJ176" s="6"/>
      <c r="UK176" s="6"/>
      <c r="UL176" s="6"/>
      <c r="UM176" s="6"/>
      <c r="UN176" s="6"/>
      <c r="UO176" s="6"/>
      <c r="UP176" s="6"/>
      <c r="UQ176" s="6"/>
      <c r="UR176" s="6"/>
      <c r="US176" s="6"/>
      <c r="UT176" s="6"/>
      <c r="UU176" s="6"/>
      <c r="UV176" s="6"/>
      <c r="UW176" s="6"/>
      <c r="UX176" s="6"/>
      <c r="UY176" s="6"/>
      <c r="UZ176" s="6"/>
      <c r="VA176" s="6"/>
      <c r="VB176" s="6"/>
      <c r="VC176" s="6"/>
      <c r="VD176" s="6"/>
      <c r="VE176" s="6"/>
      <c r="VF176" s="6"/>
      <c r="VG176" s="6"/>
      <c r="VH176" s="6"/>
      <c r="VI176" s="6"/>
      <c r="VJ176" s="6"/>
      <c r="VK176" s="6"/>
      <c r="VL176" s="6"/>
      <c r="VM176" s="6"/>
      <c r="VN176" s="6"/>
      <c r="VO176" s="6"/>
      <c r="VP176" s="6"/>
      <c r="VQ176" s="6"/>
      <c r="VR176" s="6"/>
      <c r="VS176" s="6"/>
      <c r="VT176" s="6"/>
      <c r="VU176" s="6"/>
      <c r="VV176" s="6"/>
      <c r="VW176" s="6"/>
      <c r="VX176" s="6"/>
      <c r="VY176" s="6"/>
      <c r="VZ176" s="6"/>
      <c r="WA176" s="6"/>
      <c r="WB176" s="6"/>
      <c r="WC176" s="6"/>
      <c r="WD176" s="6"/>
      <c r="WE176" s="6"/>
      <c r="WF176" s="6"/>
      <c r="WG176" s="6"/>
      <c r="WH176" s="6"/>
      <c r="WI176" s="6"/>
      <c r="WJ176" s="6"/>
      <c r="WK176" s="6"/>
      <c r="WL176" s="6"/>
      <c r="WM176" s="6"/>
      <c r="WN176" s="6"/>
      <c r="WO176" s="6"/>
      <c r="WP176" s="6"/>
      <c r="WQ176" s="6"/>
      <c r="WR176" s="6"/>
      <c r="WS176" s="6"/>
      <c r="WT176" s="6"/>
      <c r="WU176" s="6"/>
      <c r="WV176" s="6"/>
      <c r="WW176" s="6"/>
      <c r="WX176" s="6"/>
      <c r="WY176" s="6"/>
      <c r="WZ176" s="6"/>
      <c r="XA176" s="6"/>
      <c r="XB176" s="6"/>
      <c r="XC176" s="6"/>
      <c r="XD176" s="6"/>
      <c r="XE176" s="6"/>
      <c r="XF176" s="6"/>
      <c r="XG176" s="6"/>
      <c r="XH176" s="6"/>
      <c r="XI176" s="6"/>
      <c r="XJ176" s="6"/>
      <c r="XK176" s="6"/>
      <c r="XL176" s="6"/>
      <c r="XM176" s="6"/>
      <c r="XN176" s="6"/>
      <c r="XO176" s="6"/>
      <c r="XP176" s="6"/>
      <c r="XQ176" s="6"/>
      <c r="XR176" s="6"/>
      <c r="XS176" s="6"/>
      <c r="XT176" s="6"/>
      <c r="XU176" s="6"/>
      <c r="XV176" s="6"/>
      <c r="XW176" s="6"/>
      <c r="XX176" s="6"/>
      <c r="XY176" s="6"/>
      <c r="XZ176" s="6"/>
      <c r="YA176" s="6"/>
      <c r="YB176" s="6"/>
      <c r="YC176" s="6"/>
      <c r="YD176" s="6"/>
      <c r="YE176" s="6"/>
      <c r="YF176" s="6"/>
      <c r="YG176" s="6"/>
      <c r="YH176" s="6"/>
      <c r="YI176" s="6"/>
      <c r="YJ176" s="6"/>
      <c r="YK176" s="6"/>
      <c r="YL176" s="6"/>
      <c r="YM176" s="6"/>
      <c r="YN176" s="6"/>
      <c r="YO176" s="6"/>
      <c r="YP176" s="6"/>
      <c r="YQ176" s="6"/>
      <c r="YR176" s="6"/>
      <c r="YS176" s="6"/>
      <c r="YT176" s="6"/>
      <c r="YU176" s="6"/>
      <c r="YV176" s="6"/>
      <c r="YW176" s="6"/>
      <c r="YX176" s="6"/>
      <c r="YY176" s="6"/>
      <c r="YZ176" s="6"/>
      <c r="ZA176" s="6"/>
      <c r="ZB176" s="6"/>
      <c r="ZC176" s="6"/>
      <c r="ZD176" s="6"/>
      <c r="ZE176" s="6"/>
      <c r="ZF176" s="6"/>
      <c r="ZG176" s="6"/>
      <c r="ZH176" s="6"/>
      <c r="ZI176" s="6"/>
      <c r="ZJ176" s="6"/>
      <c r="ZK176" s="6"/>
      <c r="ZL176" s="6"/>
      <c r="ZM176" s="6"/>
      <c r="ZN176" s="6"/>
      <c r="ZO176" s="6"/>
      <c r="ZP176" s="6"/>
      <c r="ZQ176" s="6"/>
      <c r="ZR176" s="6"/>
      <c r="ZS176" s="6"/>
      <c r="ZT176" s="6"/>
      <c r="ZU176" s="6"/>
      <c r="ZV176" s="6"/>
      <c r="ZW176" s="6"/>
      <c r="ZX176" s="6"/>
      <c r="ZY176" s="6"/>
      <c r="ZZ176" s="6"/>
      <c r="AAA176" s="6"/>
      <c r="AAB176" s="6"/>
      <c r="AAC176" s="6"/>
      <c r="AAD176" s="6"/>
      <c r="AAE176" s="6"/>
      <c r="AAF176" s="6"/>
      <c r="AAG176" s="6"/>
      <c r="AAH176" s="6"/>
      <c r="AAI176" s="6"/>
      <c r="AAJ176" s="6"/>
      <c r="AAK176" s="6"/>
      <c r="AAL176" s="6"/>
      <c r="AAM176" s="6"/>
      <c r="AAN176" s="6"/>
      <c r="AAO176" s="6"/>
      <c r="AAP176" s="6"/>
      <c r="AAQ176" s="6"/>
      <c r="AAR176" s="6"/>
      <c r="AAS176" s="6"/>
      <c r="AAT176" s="6"/>
      <c r="AAU176" s="6"/>
      <c r="AAV176" s="6"/>
      <c r="AAW176" s="6"/>
      <c r="AAX176" s="6"/>
      <c r="AAY176" s="6"/>
      <c r="AAZ176" s="6"/>
      <c r="ABA176" s="6"/>
      <c r="ABB176" s="6"/>
      <c r="ABC176" s="6"/>
      <c r="ABD176" s="6"/>
      <c r="ABE176" s="6"/>
      <c r="ABF176" s="6"/>
      <c r="ABG176" s="6"/>
      <c r="ABH176" s="6"/>
      <c r="ABI176" s="6"/>
      <c r="ABJ176" s="6"/>
      <c r="ABK176" s="6"/>
      <c r="ABL176" s="6"/>
      <c r="ABM176" s="6"/>
      <c r="ABN176" s="6"/>
      <c r="ABO176" s="6"/>
      <c r="ABP176" s="6"/>
      <c r="ABQ176" s="6"/>
      <c r="ABR176" s="6"/>
      <c r="ABS176" s="6"/>
      <c r="ABT176" s="6"/>
      <c r="ABU176" s="6"/>
      <c r="ABV176" s="6"/>
      <c r="ABW176" s="6"/>
      <c r="ABX176" s="6"/>
      <c r="ABY176" s="6"/>
      <c r="ABZ176" s="6"/>
      <c r="ACA176" s="6"/>
      <c r="ACB176" s="6"/>
      <c r="ACC176" s="6"/>
      <c r="ACD176" s="6"/>
      <c r="ACE176" s="6"/>
      <c r="ACF176" s="6"/>
      <c r="ACG176" s="6"/>
      <c r="ACH176" s="6"/>
      <c r="ACI176" s="6"/>
      <c r="ACJ176" s="6"/>
      <c r="ACK176" s="6"/>
      <c r="ACL176" s="6"/>
      <c r="ACM176" s="6"/>
      <c r="ACN176" s="6"/>
      <c r="ACO176" s="6"/>
      <c r="ACP176" s="6"/>
      <c r="ACQ176" s="6"/>
      <c r="ACR176" s="6"/>
      <c r="ACS176" s="6"/>
      <c r="ACT176" s="6"/>
      <c r="ACU176" s="6"/>
      <c r="ACV176" s="6"/>
      <c r="ACW176" s="6"/>
      <c r="ACX176" s="6"/>
      <c r="ACY176" s="6"/>
      <c r="ACZ176" s="6"/>
      <c r="ADA176" s="6"/>
      <c r="ADB176" s="6"/>
      <c r="ADC176" s="6"/>
      <c r="ADD176" s="6"/>
      <c r="ADE176" s="6"/>
      <c r="ADF176" s="6"/>
      <c r="ADG176" s="6"/>
      <c r="ADH176" s="6"/>
      <c r="ADI176" s="6"/>
      <c r="ADJ176" s="6"/>
    </row>
    <row r="177" spans="1:790" s="291" customFormat="1" x14ac:dyDescent="0.3">
      <c r="A177" s="399"/>
      <c r="B177" s="430" t="s">
        <v>116</v>
      </c>
      <c r="C177" s="366"/>
      <c r="D177" s="367"/>
      <c r="E177" s="367"/>
      <c r="F177" s="362"/>
      <c r="G177" s="362"/>
      <c r="H177" s="362"/>
      <c r="I177" s="369"/>
      <c r="J177" s="362"/>
      <c r="K177" s="363"/>
      <c r="L177" s="370"/>
      <c r="M177" s="490"/>
      <c r="N177" s="489" t="str">
        <f t="shared" si="138"/>
        <v/>
      </c>
      <c r="O177" s="308"/>
      <c r="Q177" s="497"/>
      <c r="R177" s="481"/>
      <c r="S177" s="514"/>
      <c r="T177" s="515" t="str">
        <f t="shared" si="143"/>
        <v/>
      </c>
      <c r="U177" s="482" t="str">
        <f t="shared" si="144"/>
        <v/>
      </c>
      <c r="V177" s="514"/>
      <c r="W177" s="515" t="str">
        <f t="shared" si="145"/>
        <v/>
      </c>
      <c r="X177" s="507"/>
      <c r="Y177" s="507"/>
      <c r="Z177" s="478"/>
      <c r="AA177" s="471"/>
      <c r="AB177" s="471"/>
      <c r="AC177" s="471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6"/>
      <c r="KZ177" s="6"/>
      <c r="LA177" s="6"/>
      <c r="LB177" s="6"/>
      <c r="LC177" s="6"/>
      <c r="LD177" s="6"/>
      <c r="LE177" s="6"/>
      <c r="LF177" s="6"/>
      <c r="LG177" s="6"/>
      <c r="LH177" s="6"/>
      <c r="LI177" s="6"/>
      <c r="LJ177" s="6"/>
      <c r="LK177" s="6"/>
      <c r="LL177" s="6"/>
      <c r="LM177" s="6"/>
      <c r="LN177" s="6"/>
      <c r="LO177" s="6"/>
      <c r="LP177" s="6"/>
      <c r="LQ177" s="6"/>
      <c r="LR177" s="6"/>
      <c r="LS177" s="6"/>
      <c r="LT177" s="6"/>
      <c r="LU177" s="6"/>
      <c r="LV177" s="6"/>
      <c r="LW177" s="6"/>
      <c r="LX177" s="6"/>
      <c r="LY177" s="6"/>
      <c r="LZ177" s="6"/>
      <c r="MA177" s="6"/>
      <c r="MB177" s="6"/>
      <c r="MC177" s="6"/>
      <c r="MD177" s="6"/>
      <c r="ME177" s="6"/>
      <c r="MF177" s="6"/>
      <c r="MG177" s="6"/>
      <c r="MH177" s="6"/>
      <c r="MI177" s="6"/>
      <c r="MJ177" s="6"/>
      <c r="MK177" s="6"/>
      <c r="ML177" s="6"/>
      <c r="MM177" s="6"/>
      <c r="MN177" s="6"/>
      <c r="MO177" s="6"/>
      <c r="MP177" s="6"/>
      <c r="MQ177" s="6"/>
      <c r="MR177" s="6"/>
      <c r="MS177" s="6"/>
      <c r="MT177" s="6"/>
      <c r="MU177" s="6"/>
      <c r="MV177" s="6"/>
      <c r="MW177" s="6"/>
      <c r="MX177" s="6"/>
      <c r="MY177" s="6"/>
      <c r="MZ177" s="6"/>
      <c r="NA177" s="6"/>
      <c r="NB177" s="6"/>
      <c r="NC177" s="6"/>
      <c r="ND177" s="6"/>
      <c r="NE177" s="6"/>
      <c r="NF177" s="6"/>
      <c r="NG177" s="6"/>
      <c r="NH177" s="6"/>
      <c r="NI177" s="6"/>
      <c r="NJ177" s="6"/>
      <c r="NK177" s="6"/>
      <c r="NL177" s="6"/>
      <c r="NM177" s="6"/>
      <c r="NN177" s="6"/>
      <c r="NO177" s="6"/>
      <c r="NP177" s="6"/>
      <c r="NQ177" s="6"/>
      <c r="NR177" s="6"/>
      <c r="NS177" s="6"/>
      <c r="NT177" s="6"/>
      <c r="NU177" s="6"/>
      <c r="NV177" s="6"/>
      <c r="NW177" s="6"/>
      <c r="NX177" s="6"/>
      <c r="NY177" s="6"/>
      <c r="NZ177" s="6"/>
      <c r="OA177" s="6"/>
      <c r="OB177" s="6"/>
      <c r="OC177" s="6"/>
      <c r="OD177" s="6"/>
      <c r="OE177" s="6"/>
      <c r="OF177" s="6"/>
      <c r="OG177" s="6"/>
      <c r="OH177" s="6"/>
      <c r="OI177" s="6"/>
      <c r="OJ177" s="6"/>
      <c r="OK177" s="6"/>
      <c r="OL177" s="6"/>
      <c r="OM177" s="6"/>
      <c r="ON177" s="6"/>
      <c r="OO177" s="6"/>
      <c r="OP177" s="6"/>
      <c r="OQ177" s="6"/>
      <c r="OR177" s="6"/>
      <c r="OS177" s="6"/>
      <c r="OT177" s="6"/>
      <c r="OU177" s="6"/>
      <c r="OV177" s="6"/>
      <c r="OW177" s="6"/>
      <c r="OX177" s="6"/>
      <c r="OY177" s="6"/>
      <c r="OZ177" s="6"/>
      <c r="PA177" s="6"/>
      <c r="PB177" s="6"/>
      <c r="PC177" s="6"/>
      <c r="PD177" s="6"/>
      <c r="PE177" s="6"/>
      <c r="PF177" s="6"/>
      <c r="PG177" s="6"/>
      <c r="PH177" s="6"/>
      <c r="PI177" s="6"/>
      <c r="PJ177" s="6"/>
      <c r="PK177" s="6"/>
      <c r="PL177" s="6"/>
      <c r="PM177" s="6"/>
      <c r="PN177" s="6"/>
      <c r="PO177" s="6"/>
      <c r="PP177" s="6"/>
      <c r="PQ177" s="6"/>
      <c r="PR177" s="6"/>
      <c r="PS177" s="6"/>
      <c r="PT177" s="6"/>
      <c r="PU177" s="6"/>
      <c r="PV177" s="6"/>
      <c r="PW177" s="6"/>
      <c r="PX177" s="6"/>
      <c r="PY177" s="6"/>
      <c r="PZ177" s="6"/>
      <c r="QA177" s="6"/>
      <c r="QB177" s="6"/>
      <c r="QC177" s="6"/>
      <c r="QD177" s="6"/>
      <c r="QE177" s="6"/>
      <c r="QF177" s="6"/>
      <c r="QG177" s="6"/>
      <c r="QH177" s="6"/>
      <c r="QI177" s="6"/>
      <c r="QJ177" s="6"/>
      <c r="QK177" s="6"/>
      <c r="QL177" s="6"/>
      <c r="QM177" s="6"/>
      <c r="QN177" s="6"/>
      <c r="QO177" s="6"/>
      <c r="QP177" s="6"/>
      <c r="QQ177" s="6"/>
      <c r="QR177" s="6"/>
      <c r="QS177" s="6"/>
      <c r="QT177" s="6"/>
      <c r="QU177" s="6"/>
      <c r="QV177" s="6"/>
      <c r="QW177" s="6"/>
      <c r="QX177" s="6"/>
      <c r="QY177" s="6"/>
      <c r="QZ177" s="6"/>
      <c r="RA177" s="6"/>
      <c r="RB177" s="6"/>
      <c r="RC177" s="6"/>
      <c r="RD177" s="6"/>
      <c r="RE177" s="6"/>
      <c r="RF177" s="6"/>
      <c r="RG177" s="6"/>
      <c r="RH177" s="6"/>
      <c r="RI177" s="6"/>
      <c r="RJ177" s="6"/>
      <c r="RK177" s="6"/>
      <c r="RL177" s="6"/>
      <c r="RM177" s="6"/>
      <c r="RN177" s="6"/>
      <c r="RO177" s="6"/>
      <c r="RP177" s="6"/>
      <c r="RQ177" s="6"/>
      <c r="RR177" s="6"/>
      <c r="RS177" s="6"/>
      <c r="RT177" s="6"/>
      <c r="RU177" s="6"/>
      <c r="RV177" s="6"/>
      <c r="RW177" s="6"/>
      <c r="RX177" s="6"/>
      <c r="RY177" s="6"/>
      <c r="RZ177" s="6"/>
      <c r="SA177" s="6"/>
      <c r="SB177" s="6"/>
      <c r="SC177" s="6"/>
      <c r="SD177" s="6"/>
      <c r="SE177" s="6"/>
      <c r="SF177" s="6"/>
      <c r="SG177" s="6"/>
      <c r="SH177" s="6"/>
      <c r="SI177" s="6"/>
      <c r="SJ177" s="6"/>
      <c r="SK177" s="6"/>
      <c r="SL177" s="6"/>
      <c r="SM177" s="6"/>
      <c r="SN177" s="6"/>
      <c r="SO177" s="6"/>
      <c r="SP177" s="6"/>
      <c r="SQ177" s="6"/>
      <c r="SR177" s="6"/>
      <c r="SS177" s="6"/>
      <c r="ST177" s="6"/>
      <c r="SU177" s="6"/>
      <c r="SV177" s="6"/>
      <c r="SW177" s="6"/>
      <c r="SX177" s="6"/>
      <c r="SY177" s="6"/>
      <c r="SZ177" s="6"/>
      <c r="TA177" s="6"/>
      <c r="TB177" s="6"/>
      <c r="TC177" s="6"/>
      <c r="TD177" s="6"/>
      <c r="TE177" s="6"/>
      <c r="TF177" s="6"/>
      <c r="TG177" s="6"/>
      <c r="TH177" s="6"/>
      <c r="TI177" s="6"/>
      <c r="TJ177" s="6"/>
      <c r="TK177" s="6"/>
      <c r="TL177" s="6"/>
      <c r="TM177" s="6"/>
      <c r="TN177" s="6"/>
      <c r="TO177" s="6"/>
      <c r="TP177" s="6"/>
      <c r="TQ177" s="6"/>
      <c r="TR177" s="6"/>
      <c r="TS177" s="6"/>
      <c r="TT177" s="6"/>
      <c r="TU177" s="6"/>
      <c r="TV177" s="6"/>
      <c r="TW177" s="6"/>
      <c r="TX177" s="6"/>
      <c r="TY177" s="6"/>
      <c r="TZ177" s="6"/>
      <c r="UA177" s="6"/>
      <c r="UB177" s="6"/>
      <c r="UC177" s="6"/>
      <c r="UD177" s="6"/>
      <c r="UE177" s="6"/>
      <c r="UF177" s="6"/>
      <c r="UG177" s="6"/>
      <c r="UH177" s="6"/>
      <c r="UI177" s="6"/>
      <c r="UJ177" s="6"/>
      <c r="UK177" s="6"/>
      <c r="UL177" s="6"/>
      <c r="UM177" s="6"/>
      <c r="UN177" s="6"/>
      <c r="UO177" s="6"/>
      <c r="UP177" s="6"/>
      <c r="UQ177" s="6"/>
      <c r="UR177" s="6"/>
      <c r="US177" s="6"/>
      <c r="UT177" s="6"/>
      <c r="UU177" s="6"/>
      <c r="UV177" s="6"/>
      <c r="UW177" s="6"/>
      <c r="UX177" s="6"/>
      <c r="UY177" s="6"/>
      <c r="UZ177" s="6"/>
      <c r="VA177" s="6"/>
      <c r="VB177" s="6"/>
      <c r="VC177" s="6"/>
      <c r="VD177" s="6"/>
      <c r="VE177" s="6"/>
      <c r="VF177" s="6"/>
      <c r="VG177" s="6"/>
      <c r="VH177" s="6"/>
      <c r="VI177" s="6"/>
      <c r="VJ177" s="6"/>
      <c r="VK177" s="6"/>
      <c r="VL177" s="6"/>
      <c r="VM177" s="6"/>
      <c r="VN177" s="6"/>
      <c r="VO177" s="6"/>
      <c r="VP177" s="6"/>
      <c r="VQ177" s="6"/>
      <c r="VR177" s="6"/>
      <c r="VS177" s="6"/>
      <c r="VT177" s="6"/>
      <c r="VU177" s="6"/>
      <c r="VV177" s="6"/>
      <c r="VW177" s="6"/>
      <c r="VX177" s="6"/>
      <c r="VY177" s="6"/>
      <c r="VZ177" s="6"/>
      <c r="WA177" s="6"/>
      <c r="WB177" s="6"/>
      <c r="WC177" s="6"/>
      <c r="WD177" s="6"/>
      <c r="WE177" s="6"/>
      <c r="WF177" s="6"/>
      <c r="WG177" s="6"/>
      <c r="WH177" s="6"/>
      <c r="WI177" s="6"/>
      <c r="WJ177" s="6"/>
      <c r="WK177" s="6"/>
      <c r="WL177" s="6"/>
      <c r="WM177" s="6"/>
      <c r="WN177" s="6"/>
      <c r="WO177" s="6"/>
      <c r="WP177" s="6"/>
      <c r="WQ177" s="6"/>
      <c r="WR177" s="6"/>
      <c r="WS177" s="6"/>
      <c r="WT177" s="6"/>
      <c r="WU177" s="6"/>
      <c r="WV177" s="6"/>
      <c r="WW177" s="6"/>
      <c r="WX177" s="6"/>
      <c r="WY177" s="6"/>
      <c r="WZ177" s="6"/>
      <c r="XA177" s="6"/>
      <c r="XB177" s="6"/>
      <c r="XC177" s="6"/>
      <c r="XD177" s="6"/>
      <c r="XE177" s="6"/>
      <c r="XF177" s="6"/>
      <c r="XG177" s="6"/>
      <c r="XH177" s="6"/>
      <c r="XI177" s="6"/>
      <c r="XJ177" s="6"/>
      <c r="XK177" s="6"/>
      <c r="XL177" s="6"/>
      <c r="XM177" s="6"/>
      <c r="XN177" s="6"/>
      <c r="XO177" s="6"/>
      <c r="XP177" s="6"/>
      <c r="XQ177" s="6"/>
      <c r="XR177" s="6"/>
      <c r="XS177" s="6"/>
      <c r="XT177" s="6"/>
      <c r="XU177" s="6"/>
      <c r="XV177" s="6"/>
      <c r="XW177" s="6"/>
      <c r="XX177" s="6"/>
      <c r="XY177" s="6"/>
      <c r="XZ177" s="6"/>
      <c r="YA177" s="6"/>
      <c r="YB177" s="6"/>
      <c r="YC177" s="6"/>
      <c r="YD177" s="6"/>
      <c r="YE177" s="6"/>
      <c r="YF177" s="6"/>
      <c r="YG177" s="6"/>
      <c r="YH177" s="6"/>
      <c r="YI177" s="6"/>
      <c r="YJ177" s="6"/>
      <c r="YK177" s="6"/>
      <c r="YL177" s="6"/>
      <c r="YM177" s="6"/>
      <c r="YN177" s="6"/>
      <c r="YO177" s="6"/>
      <c r="YP177" s="6"/>
      <c r="YQ177" s="6"/>
      <c r="YR177" s="6"/>
      <c r="YS177" s="6"/>
      <c r="YT177" s="6"/>
      <c r="YU177" s="6"/>
      <c r="YV177" s="6"/>
      <c r="YW177" s="6"/>
      <c r="YX177" s="6"/>
      <c r="YY177" s="6"/>
      <c r="YZ177" s="6"/>
      <c r="ZA177" s="6"/>
      <c r="ZB177" s="6"/>
      <c r="ZC177" s="6"/>
      <c r="ZD177" s="6"/>
      <c r="ZE177" s="6"/>
      <c r="ZF177" s="6"/>
      <c r="ZG177" s="6"/>
      <c r="ZH177" s="6"/>
      <c r="ZI177" s="6"/>
      <c r="ZJ177" s="6"/>
      <c r="ZK177" s="6"/>
      <c r="ZL177" s="6"/>
      <c r="ZM177" s="6"/>
      <c r="ZN177" s="6"/>
      <c r="ZO177" s="6"/>
      <c r="ZP177" s="6"/>
      <c r="ZQ177" s="6"/>
      <c r="ZR177" s="6"/>
      <c r="ZS177" s="6"/>
      <c r="ZT177" s="6"/>
      <c r="ZU177" s="6"/>
      <c r="ZV177" s="6"/>
      <c r="ZW177" s="6"/>
      <c r="ZX177" s="6"/>
      <c r="ZY177" s="6"/>
      <c r="ZZ177" s="6"/>
      <c r="AAA177" s="6"/>
      <c r="AAB177" s="6"/>
      <c r="AAC177" s="6"/>
      <c r="AAD177" s="6"/>
      <c r="AAE177" s="6"/>
      <c r="AAF177" s="6"/>
      <c r="AAG177" s="6"/>
      <c r="AAH177" s="6"/>
      <c r="AAI177" s="6"/>
      <c r="AAJ177" s="6"/>
      <c r="AAK177" s="6"/>
      <c r="AAL177" s="6"/>
      <c r="AAM177" s="6"/>
      <c r="AAN177" s="6"/>
      <c r="AAO177" s="6"/>
      <c r="AAP177" s="6"/>
      <c r="AAQ177" s="6"/>
      <c r="AAR177" s="6"/>
      <c r="AAS177" s="6"/>
      <c r="AAT177" s="6"/>
      <c r="AAU177" s="6"/>
      <c r="AAV177" s="6"/>
      <c r="AAW177" s="6"/>
      <c r="AAX177" s="6"/>
      <c r="AAY177" s="6"/>
      <c r="AAZ177" s="6"/>
      <c r="ABA177" s="6"/>
      <c r="ABB177" s="6"/>
      <c r="ABC177" s="6"/>
      <c r="ABD177" s="6"/>
      <c r="ABE177" s="6"/>
      <c r="ABF177" s="6"/>
      <c r="ABG177" s="6"/>
      <c r="ABH177" s="6"/>
      <c r="ABI177" s="6"/>
      <c r="ABJ177" s="6"/>
      <c r="ABK177" s="6"/>
      <c r="ABL177" s="6"/>
      <c r="ABM177" s="6"/>
      <c r="ABN177" s="6"/>
      <c r="ABO177" s="6"/>
      <c r="ABP177" s="6"/>
      <c r="ABQ177" s="6"/>
      <c r="ABR177" s="6"/>
      <c r="ABS177" s="6"/>
      <c r="ABT177" s="6"/>
      <c r="ABU177" s="6"/>
      <c r="ABV177" s="6"/>
      <c r="ABW177" s="6"/>
      <c r="ABX177" s="6"/>
      <c r="ABY177" s="6"/>
      <c r="ABZ177" s="6"/>
      <c r="ACA177" s="6"/>
      <c r="ACB177" s="6"/>
      <c r="ACC177" s="6"/>
      <c r="ACD177" s="6"/>
      <c r="ACE177" s="6"/>
      <c r="ACF177" s="6"/>
      <c r="ACG177" s="6"/>
      <c r="ACH177" s="6"/>
      <c r="ACI177" s="6"/>
      <c r="ACJ177" s="6"/>
      <c r="ACK177" s="6"/>
      <c r="ACL177" s="6"/>
      <c r="ACM177" s="6"/>
      <c r="ACN177" s="6"/>
      <c r="ACO177" s="6"/>
      <c r="ACP177" s="6"/>
      <c r="ACQ177" s="6"/>
      <c r="ACR177" s="6"/>
      <c r="ACS177" s="6"/>
      <c r="ACT177" s="6"/>
      <c r="ACU177" s="6"/>
      <c r="ACV177" s="6"/>
      <c r="ACW177" s="6"/>
      <c r="ACX177" s="6"/>
      <c r="ACY177" s="6"/>
      <c r="ACZ177" s="6"/>
      <c r="ADA177" s="6"/>
      <c r="ADB177" s="6"/>
      <c r="ADC177" s="6"/>
      <c r="ADD177" s="6"/>
      <c r="ADE177" s="6"/>
      <c r="ADF177" s="6"/>
      <c r="ADG177" s="6"/>
      <c r="ADH177" s="6"/>
      <c r="ADI177" s="6"/>
      <c r="ADJ177" s="6"/>
    </row>
    <row r="178" spans="1:790" s="291" customFormat="1" x14ac:dyDescent="0.3">
      <c r="A178" s="399"/>
      <c r="B178" s="571" t="s">
        <v>118</v>
      </c>
      <c r="C178" s="366"/>
      <c r="D178" s="367">
        <f>1.3+1</f>
        <v>2.2999999999999998</v>
      </c>
      <c r="E178" s="367">
        <f>1.25+1</f>
        <v>2.25</v>
      </c>
      <c r="F178" s="362"/>
      <c r="G178" s="362">
        <v>0.1</v>
      </c>
      <c r="H178" s="362">
        <f>+PRODUCT(C178:G178)</f>
        <v>0.51749999999999996</v>
      </c>
      <c r="I178" s="369" t="s">
        <v>22</v>
      </c>
      <c r="J178" s="362">
        <f>+PRODUCT(C178:G178)</f>
        <v>0.51749999999999996</v>
      </c>
      <c r="K178" s="363">
        <v>150</v>
      </c>
      <c r="L178" s="370">
        <f t="shared" ref="L178:L180" si="176">J178*K178</f>
        <v>77.625</v>
      </c>
      <c r="M178" s="490">
        <f t="shared" ref="M178:M180" si="177">K178*(100%-16.5%)</f>
        <v>125.25</v>
      </c>
      <c r="N178" s="489">
        <f t="shared" si="138"/>
        <v>64.816874999999996</v>
      </c>
      <c r="O178" s="308"/>
      <c r="Q178" s="497"/>
      <c r="R178" s="481">
        <f t="shared" si="148"/>
        <v>0.51749999999999996</v>
      </c>
      <c r="S178" s="514">
        <f>[2]CM!$M$297</f>
        <v>15</v>
      </c>
      <c r="T178" s="515">
        <f t="shared" si="143"/>
        <v>7.7624999999999993</v>
      </c>
      <c r="U178" s="482">
        <f t="shared" si="144"/>
        <v>0.51749999999999996</v>
      </c>
      <c r="V178" s="514">
        <f>V151</f>
        <v>100</v>
      </c>
      <c r="W178" s="515">
        <f t="shared" si="145"/>
        <v>51.749999999999993</v>
      </c>
      <c r="X178" s="507">
        <f t="shared" ref="X178:X180" si="178">V178+S178</f>
        <v>115</v>
      </c>
      <c r="Y178" s="520">
        <f t="shared" ref="Y178:Y180" si="179">M178-X178</f>
        <v>10.25</v>
      </c>
      <c r="Z178" s="521">
        <f t="shared" ref="Z178:Z180" si="180">Y178/M178</f>
        <v>8.1836327345309379E-2</v>
      </c>
      <c r="AA178" s="471"/>
      <c r="AB178" s="471"/>
      <c r="AC178" s="471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/>
      <c r="IM178" s="6"/>
      <c r="IN178" s="6"/>
      <c r="IO178" s="6"/>
      <c r="IP178" s="6"/>
      <c r="IQ178" s="6"/>
      <c r="IR178" s="6"/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6"/>
      <c r="KZ178" s="6"/>
      <c r="LA178" s="6"/>
      <c r="LB178" s="6"/>
      <c r="LC178" s="6"/>
      <c r="LD178" s="6"/>
      <c r="LE178" s="6"/>
      <c r="LF178" s="6"/>
      <c r="LG178" s="6"/>
      <c r="LH178" s="6"/>
      <c r="LI178" s="6"/>
      <c r="LJ178" s="6"/>
      <c r="LK178" s="6"/>
      <c r="LL178" s="6"/>
      <c r="LM178" s="6"/>
      <c r="LN178" s="6"/>
      <c r="LO178" s="6"/>
      <c r="LP178" s="6"/>
      <c r="LQ178" s="6"/>
      <c r="LR178" s="6"/>
      <c r="LS178" s="6"/>
      <c r="LT178" s="6"/>
      <c r="LU178" s="6"/>
      <c r="LV178" s="6"/>
      <c r="LW178" s="6"/>
      <c r="LX178" s="6"/>
      <c r="LY178" s="6"/>
      <c r="LZ178" s="6"/>
      <c r="MA178" s="6"/>
      <c r="MB178" s="6"/>
      <c r="MC178" s="6"/>
      <c r="MD178" s="6"/>
      <c r="ME178" s="6"/>
      <c r="MF178" s="6"/>
      <c r="MG178" s="6"/>
      <c r="MH178" s="6"/>
      <c r="MI178" s="6"/>
      <c r="MJ178" s="6"/>
      <c r="MK178" s="6"/>
      <c r="ML178" s="6"/>
      <c r="MM178" s="6"/>
      <c r="MN178" s="6"/>
      <c r="MO178" s="6"/>
      <c r="MP178" s="6"/>
      <c r="MQ178" s="6"/>
      <c r="MR178" s="6"/>
      <c r="MS178" s="6"/>
      <c r="MT178" s="6"/>
      <c r="MU178" s="6"/>
      <c r="MV178" s="6"/>
      <c r="MW178" s="6"/>
      <c r="MX178" s="6"/>
      <c r="MY178" s="6"/>
      <c r="MZ178" s="6"/>
      <c r="NA178" s="6"/>
      <c r="NB178" s="6"/>
      <c r="NC178" s="6"/>
      <c r="ND178" s="6"/>
      <c r="NE178" s="6"/>
      <c r="NF178" s="6"/>
      <c r="NG178" s="6"/>
      <c r="NH178" s="6"/>
      <c r="NI178" s="6"/>
      <c r="NJ178" s="6"/>
      <c r="NK178" s="6"/>
      <c r="NL178" s="6"/>
      <c r="NM178" s="6"/>
      <c r="NN178" s="6"/>
      <c r="NO178" s="6"/>
      <c r="NP178" s="6"/>
      <c r="NQ178" s="6"/>
      <c r="NR178" s="6"/>
      <c r="NS178" s="6"/>
      <c r="NT178" s="6"/>
      <c r="NU178" s="6"/>
      <c r="NV178" s="6"/>
      <c r="NW178" s="6"/>
      <c r="NX178" s="6"/>
      <c r="NY178" s="6"/>
      <c r="NZ178" s="6"/>
      <c r="OA178" s="6"/>
      <c r="OB178" s="6"/>
      <c r="OC178" s="6"/>
      <c r="OD178" s="6"/>
      <c r="OE178" s="6"/>
      <c r="OF178" s="6"/>
      <c r="OG178" s="6"/>
      <c r="OH178" s="6"/>
      <c r="OI178" s="6"/>
      <c r="OJ178" s="6"/>
      <c r="OK178" s="6"/>
      <c r="OL178" s="6"/>
      <c r="OM178" s="6"/>
      <c r="ON178" s="6"/>
      <c r="OO178" s="6"/>
      <c r="OP178" s="6"/>
      <c r="OQ178" s="6"/>
      <c r="OR178" s="6"/>
      <c r="OS178" s="6"/>
      <c r="OT178" s="6"/>
      <c r="OU178" s="6"/>
      <c r="OV178" s="6"/>
      <c r="OW178" s="6"/>
      <c r="OX178" s="6"/>
      <c r="OY178" s="6"/>
      <c r="OZ178" s="6"/>
      <c r="PA178" s="6"/>
      <c r="PB178" s="6"/>
      <c r="PC178" s="6"/>
      <c r="PD178" s="6"/>
      <c r="PE178" s="6"/>
      <c r="PF178" s="6"/>
      <c r="PG178" s="6"/>
      <c r="PH178" s="6"/>
      <c r="PI178" s="6"/>
      <c r="PJ178" s="6"/>
      <c r="PK178" s="6"/>
      <c r="PL178" s="6"/>
      <c r="PM178" s="6"/>
      <c r="PN178" s="6"/>
      <c r="PO178" s="6"/>
      <c r="PP178" s="6"/>
      <c r="PQ178" s="6"/>
      <c r="PR178" s="6"/>
      <c r="PS178" s="6"/>
      <c r="PT178" s="6"/>
      <c r="PU178" s="6"/>
      <c r="PV178" s="6"/>
      <c r="PW178" s="6"/>
      <c r="PX178" s="6"/>
      <c r="PY178" s="6"/>
      <c r="PZ178" s="6"/>
      <c r="QA178" s="6"/>
      <c r="QB178" s="6"/>
      <c r="QC178" s="6"/>
      <c r="QD178" s="6"/>
      <c r="QE178" s="6"/>
      <c r="QF178" s="6"/>
      <c r="QG178" s="6"/>
      <c r="QH178" s="6"/>
      <c r="QI178" s="6"/>
      <c r="QJ178" s="6"/>
      <c r="QK178" s="6"/>
      <c r="QL178" s="6"/>
      <c r="QM178" s="6"/>
      <c r="QN178" s="6"/>
      <c r="QO178" s="6"/>
      <c r="QP178" s="6"/>
      <c r="QQ178" s="6"/>
      <c r="QR178" s="6"/>
      <c r="QS178" s="6"/>
      <c r="QT178" s="6"/>
      <c r="QU178" s="6"/>
      <c r="QV178" s="6"/>
      <c r="QW178" s="6"/>
      <c r="QX178" s="6"/>
      <c r="QY178" s="6"/>
      <c r="QZ178" s="6"/>
      <c r="RA178" s="6"/>
      <c r="RB178" s="6"/>
      <c r="RC178" s="6"/>
      <c r="RD178" s="6"/>
      <c r="RE178" s="6"/>
      <c r="RF178" s="6"/>
      <c r="RG178" s="6"/>
      <c r="RH178" s="6"/>
      <c r="RI178" s="6"/>
      <c r="RJ178" s="6"/>
      <c r="RK178" s="6"/>
      <c r="RL178" s="6"/>
      <c r="RM178" s="6"/>
      <c r="RN178" s="6"/>
      <c r="RO178" s="6"/>
      <c r="RP178" s="6"/>
      <c r="RQ178" s="6"/>
      <c r="RR178" s="6"/>
      <c r="RS178" s="6"/>
      <c r="RT178" s="6"/>
      <c r="RU178" s="6"/>
      <c r="RV178" s="6"/>
      <c r="RW178" s="6"/>
      <c r="RX178" s="6"/>
      <c r="RY178" s="6"/>
      <c r="RZ178" s="6"/>
      <c r="SA178" s="6"/>
      <c r="SB178" s="6"/>
      <c r="SC178" s="6"/>
      <c r="SD178" s="6"/>
      <c r="SE178" s="6"/>
      <c r="SF178" s="6"/>
      <c r="SG178" s="6"/>
      <c r="SH178" s="6"/>
      <c r="SI178" s="6"/>
      <c r="SJ178" s="6"/>
      <c r="SK178" s="6"/>
      <c r="SL178" s="6"/>
      <c r="SM178" s="6"/>
      <c r="SN178" s="6"/>
      <c r="SO178" s="6"/>
      <c r="SP178" s="6"/>
      <c r="SQ178" s="6"/>
      <c r="SR178" s="6"/>
      <c r="SS178" s="6"/>
      <c r="ST178" s="6"/>
      <c r="SU178" s="6"/>
      <c r="SV178" s="6"/>
      <c r="SW178" s="6"/>
      <c r="SX178" s="6"/>
      <c r="SY178" s="6"/>
      <c r="SZ178" s="6"/>
      <c r="TA178" s="6"/>
      <c r="TB178" s="6"/>
      <c r="TC178" s="6"/>
      <c r="TD178" s="6"/>
      <c r="TE178" s="6"/>
      <c r="TF178" s="6"/>
      <c r="TG178" s="6"/>
      <c r="TH178" s="6"/>
      <c r="TI178" s="6"/>
      <c r="TJ178" s="6"/>
      <c r="TK178" s="6"/>
      <c r="TL178" s="6"/>
      <c r="TM178" s="6"/>
      <c r="TN178" s="6"/>
      <c r="TO178" s="6"/>
      <c r="TP178" s="6"/>
      <c r="TQ178" s="6"/>
      <c r="TR178" s="6"/>
      <c r="TS178" s="6"/>
      <c r="TT178" s="6"/>
      <c r="TU178" s="6"/>
      <c r="TV178" s="6"/>
      <c r="TW178" s="6"/>
      <c r="TX178" s="6"/>
      <c r="TY178" s="6"/>
      <c r="TZ178" s="6"/>
      <c r="UA178" s="6"/>
      <c r="UB178" s="6"/>
      <c r="UC178" s="6"/>
      <c r="UD178" s="6"/>
      <c r="UE178" s="6"/>
      <c r="UF178" s="6"/>
      <c r="UG178" s="6"/>
      <c r="UH178" s="6"/>
      <c r="UI178" s="6"/>
      <c r="UJ178" s="6"/>
      <c r="UK178" s="6"/>
      <c r="UL178" s="6"/>
      <c r="UM178" s="6"/>
      <c r="UN178" s="6"/>
      <c r="UO178" s="6"/>
      <c r="UP178" s="6"/>
      <c r="UQ178" s="6"/>
      <c r="UR178" s="6"/>
      <c r="US178" s="6"/>
      <c r="UT178" s="6"/>
      <c r="UU178" s="6"/>
      <c r="UV178" s="6"/>
      <c r="UW178" s="6"/>
      <c r="UX178" s="6"/>
      <c r="UY178" s="6"/>
      <c r="UZ178" s="6"/>
      <c r="VA178" s="6"/>
      <c r="VB178" s="6"/>
      <c r="VC178" s="6"/>
      <c r="VD178" s="6"/>
      <c r="VE178" s="6"/>
      <c r="VF178" s="6"/>
      <c r="VG178" s="6"/>
      <c r="VH178" s="6"/>
      <c r="VI178" s="6"/>
      <c r="VJ178" s="6"/>
      <c r="VK178" s="6"/>
      <c r="VL178" s="6"/>
      <c r="VM178" s="6"/>
      <c r="VN178" s="6"/>
      <c r="VO178" s="6"/>
      <c r="VP178" s="6"/>
      <c r="VQ178" s="6"/>
      <c r="VR178" s="6"/>
      <c r="VS178" s="6"/>
      <c r="VT178" s="6"/>
      <c r="VU178" s="6"/>
      <c r="VV178" s="6"/>
      <c r="VW178" s="6"/>
      <c r="VX178" s="6"/>
      <c r="VY178" s="6"/>
      <c r="VZ178" s="6"/>
      <c r="WA178" s="6"/>
      <c r="WB178" s="6"/>
      <c r="WC178" s="6"/>
      <c r="WD178" s="6"/>
      <c r="WE178" s="6"/>
      <c r="WF178" s="6"/>
      <c r="WG178" s="6"/>
      <c r="WH178" s="6"/>
      <c r="WI178" s="6"/>
      <c r="WJ178" s="6"/>
      <c r="WK178" s="6"/>
      <c r="WL178" s="6"/>
      <c r="WM178" s="6"/>
      <c r="WN178" s="6"/>
      <c r="WO178" s="6"/>
      <c r="WP178" s="6"/>
      <c r="WQ178" s="6"/>
      <c r="WR178" s="6"/>
      <c r="WS178" s="6"/>
      <c r="WT178" s="6"/>
      <c r="WU178" s="6"/>
      <c r="WV178" s="6"/>
      <c r="WW178" s="6"/>
      <c r="WX178" s="6"/>
      <c r="WY178" s="6"/>
      <c r="WZ178" s="6"/>
      <c r="XA178" s="6"/>
      <c r="XB178" s="6"/>
      <c r="XC178" s="6"/>
      <c r="XD178" s="6"/>
      <c r="XE178" s="6"/>
      <c r="XF178" s="6"/>
      <c r="XG178" s="6"/>
      <c r="XH178" s="6"/>
      <c r="XI178" s="6"/>
      <c r="XJ178" s="6"/>
      <c r="XK178" s="6"/>
      <c r="XL178" s="6"/>
      <c r="XM178" s="6"/>
      <c r="XN178" s="6"/>
      <c r="XO178" s="6"/>
      <c r="XP178" s="6"/>
      <c r="XQ178" s="6"/>
      <c r="XR178" s="6"/>
      <c r="XS178" s="6"/>
      <c r="XT178" s="6"/>
      <c r="XU178" s="6"/>
      <c r="XV178" s="6"/>
      <c r="XW178" s="6"/>
      <c r="XX178" s="6"/>
      <c r="XY178" s="6"/>
      <c r="XZ178" s="6"/>
      <c r="YA178" s="6"/>
      <c r="YB178" s="6"/>
      <c r="YC178" s="6"/>
      <c r="YD178" s="6"/>
      <c r="YE178" s="6"/>
      <c r="YF178" s="6"/>
      <c r="YG178" s="6"/>
      <c r="YH178" s="6"/>
      <c r="YI178" s="6"/>
      <c r="YJ178" s="6"/>
      <c r="YK178" s="6"/>
      <c r="YL178" s="6"/>
      <c r="YM178" s="6"/>
      <c r="YN178" s="6"/>
      <c r="YO178" s="6"/>
      <c r="YP178" s="6"/>
      <c r="YQ178" s="6"/>
      <c r="YR178" s="6"/>
      <c r="YS178" s="6"/>
      <c r="YT178" s="6"/>
      <c r="YU178" s="6"/>
      <c r="YV178" s="6"/>
      <c r="YW178" s="6"/>
      <c r="YX178" s="6"/>
      <c r="YY178" s="6"/>
      <c r="YZ178" s="6"/>
      <c r="ZA178" s="6"/>
      <c r="ZB178" s="6"/>
      <c r="ZC178" s="6"/>
      <c r="ZD178" s="6"/>
      <c r="ZE178" s="6"/>
      <c r="ZF178" s="6"/>
      <c r="ZG178" s="6"/>
      <c r="ZH178" s="6"/>
      <c r="ZI178" s="6"/>
      <c r="ZJ178" s="6"/>
      <c r="ZK178" s="6"/>
      <c r="ZL178" s="6"/>
      <c r="ZM178" s="6"/>
      <c r="ZN178" s="6"/>
      <c r="ZO178" s="6"/>
      <c r="ZP178" s="6"/>
      <c r="ZQ178" s="6"/>
      <c r="ZR178" s="6"/>
      <c r="ZS178" s="6"/>
      <c r="ZT178" s="6"/>
      <c r="ZU178" s="6"/>
      <c r="ZV178" s="6"/>
      <c r="ZW178" s="6"/>
      <c r="ZX178" s="6"/>
      <c r="ZY178" s="6"/>
      <c r="ZZ178" s="6"/>
      <c r="AAA178" s="6"/>
      <c r="AAB178" s="6"/>
      <c r="AAC178" s="6"/>
      <c r="AAD178" s="6"/>
      <c r="AAE178" s="6"/>
      <c r="AAF178" s="6"/>
      <c r="AAG178" s="6"/>
      <c r="AAH178" s="6"/>
      <c r="AAI178" s="6"/>
      <c r="AAJ178" s="6"/>
      <c r="AAK178" s="6"/>
      <c r="AAL178" s="6"/>
      <c r="AAM178" s="6"/>
      <c r="AAN178" s="6"/>
      <c r="AAO178" s="6"/>
      <c r="AAP178" s="6"/>
      <c r="AAQ178" s="6"/>
      <c r="AAR178" s="6"/>
      <c r="AAS178" s="6"/>
      <c r="AAT178" s="6"/>
      <c r="AAU178" s="6"/>
      <c r="AAV178" s="6"/>
      <c r="AAW178" s="6"/>
      <c r="AAX178" s="6"/>
      <c r="AAY178" s="6"/>
      <c r="AAZ178" s="6"/>
      <c r="ABA178" s="6"/>
      <c r="ABB178" s="6"/>
      <c r="ABC178" s="6"/>
      <c r="ABD178" s="6"/>
      <c r="ABE178" s="6"/>
      <c r="ABF178" s="6"/>
      <c r="ABG178" s="6"/>
      <c r="ABH178" s="6"/>
      <c r="ABI178" s="6"/>
      <c r="ABJ178" s="6"/>
      <c r="ABK178" s="6"/>
      <c r="ABL178" s="6"/>
      <c r="ABM178" s="6"/>
      <c r="ABN178" s="6"/>
      <c r="ABO178" s="6"/>
      <c r="ABP178" s="6"/>
      <c r="ABQ178" s="6"/>
      <c r="ABR178" s="6"/>
      <c r="ABS178" s="6"/>
      <c r="ABT178" s="6"/>
      <c r="ABU178" s="6"/>
      <c r="ABV178" s="6"/>
      <c r="ABW178" s="6"/>
      <c r="ABX178" s="6"/>
      <c r="ABY178" s="6"/>
      <c r="ABZ178" s="6"/>
      <c r="ACA178" s="6"/>
      <c r="ACB178" s="6"/>
      <c r="ACC178" s="6"/>
      <c r="ACD178" s="6"/>
      <c r="ACE178" s="6"/>
      <c r="ACF178" s="6"/>
      <c r="ACG178" s="6"/>
      <c r="ACH178" s="6"/>
      <c r="ACI178" s="6"/>
      <c r="ACJ178" s="6"/>
      <c r="ACK178" s="6"/>
      <c r="ACL178" s="6"/>
      <c r="ACM178" s="6"/>
      <c r="ACN178" s="6"/>
      <c r="ACO178" s="6"/>
      <c r="ACP178" s="6"/>
      <c r="ACQ178" s="6"/>
      <c r="ACR178" s="6"/>
      <c r="ACS178" s="6"/>
      <c r="ACT178" s="6"/>
      <c r="ACU178" s="6"/>
      <c r="ACV178" s="6"/>
      <c r="ACW178" s="6"/>
      <c r="ACX178" s="6"/>
      <c r="ACY178" s="6"/>
      <c r="ACZ178" s="6"/>
      <c r="ADA178" s="6"/>
      <c r="ADB178" s="6"/>
      <c r="ADC178" s="6"/>
      <c r="ADD178" s="6"/>
      <c r="ADE178" s="6"/>
      <c r="ADF178" s="6"/>
      <c r="ADG178" s="6"/>
      <c r="ADH178" s="6"/>
      <c r="ADI178" s="6"/>
      <c r="ADJ178" s="6"/>
    </row>
    <row r="179" spans="1:790" s="291" customFormat="1" x14ac:dyDescent="0.3">
      <c r="A179" s="399"/>
      <c r="B179" s="571" t="s">
        <v>117</v>
      </c>
      <c r="C179" s="366"/>
      <c r="D179" s="367">
        <f>5.2+1</f>
        <v>6.2</v>
      </c>
      <c r="E179" s="367">
        <f>2.46+1</f>
        <v>3.46</v>
      </c>
      <c r="F179" s="362"/>
      <c r="G179" s="362">
        <v>0.1</v>
      </c>
      <c r="H179" s="362">
        <f t="shared" ref="H179:H180" si="181">+PRODUCT(C179:G179)</f>
        <v>2.1452000000000004</v>
      </c>
      <c r="I179" s="369" t="s">
        <v>22</v>
      </c>
      <c r="J179" s="362">
        <f>+PRODUCT(C179:G179)</f>
        <v>2.1452000000000004</v>
      </c>
      <c r="K179" s="363">
        <v>150</v>
      </c>
      <c r="L179" s="370">
        <f t="shared" si="176"/>
        <v>321.78000000000009</v>
      </c>
      <c r="M179" s="490">
        <f t="shared" si="177"/>
        <v>125.25</v>
      </c>
      <c r="N179" s="489">
        <f t="shared" si="138"/>
        <v>268.68630000000007</v>
      </c>
      <c r="O179" s="308"/>
      <c r="Q179" s="497"/>
      <c r="R179" s="481">
        <f t="shared" si="148"/>
        <v>2.1452000000000004</v>
      </c>
      <c r="S179" s="514">
        <f>S178</f>
        <v>15</v>
      </c>
      <c r="T179" s="515">
        <f t="shared" si="143"/>
        <v>32.178000000000004</v>
      </c>
      <c r="U179" s="482">
        <f t="shared" si="144"/>
        <v>2.1452000000000004</v>
      </c>
      <c r="V179" s="514">
        <f>V178</f>
        <v>100</v>
      </c>
      <c r="W179" s="515">
        <f t="shared" si="145"/>
        <v>214.52000000000004</v>
      </c>
      <c r="X179" s="507">
        <f t="shared" si="178"/>
        <v>115</v>
      </c>
      <c r="Y179" s="520">
        <f t="shared" si="179"/>
        <v>10.25</v>
      </c>
      <c r="Z179" s="521">
        <f t="shared" si="180"/>
        <v>8.1836327345309379E-2</v>
      </c>
      <c r="AA179" s="471"/>
      <c r="AB179" s="471"/>
      <c r="AC179" s="471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/>
      <c r="IQ179" s="6"/>
      <c r="IR179" s="6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6"/>
      <c r="KZ179" s="6"/>
      <c r="LA179" s="6"/>
      <c r="LB179" s="6"/>
      <c r="LC179" s="6"/>
      <c r="LD179" s="6"/>
      <c r="LE179" s="6"/>
      <c r="LF179" s="6"/>
      <c r="LG179" s="6"/>
      <c r="LH179" s="6"/>
      <c r="LI179" s="6"/>
      <c r="LJ179" s="6"/>
      <c r="LK179" s="6"/>
      <c r="LL179" s="6"/>
      <c r="LM179" s="6"/>
      <c r="LN179" s="6"/>
      <c r="LO179" s="6"/>
      <c r="LP179" s="6"/>
      <c r="LQ179" s="6"/>
      <c r="LR179" s="6"/>
      <c r="LS179" s="6"/>
      <c r="LT179" s="6"/>
      <c r="LU179" s="6"/>
      <c r="LV179" s="6"/>
      <c r="LW179" s="6"/>
      <c r="LX179" s="6"/>
      <c r="LY179" s="6"/>
      <c r="LZ179" s="6"/>
      <c r="MA179" s="6"/>
      <c r="MB179" s="6"/>
      <c r="MC179" s="6"/>
      <c r="MD179" s="6"/>
      <c r="ME179" s="6"/>
      <c r="MF179" s="6"/>
      <c r="MG179" s="6"/>
      <c r="MH179" s="6"/>
      <c r="MI179" s="6"/>
      <c r="MJ179" s="6"/>
      <c r="MK179" s="6"/>
      <c r="ML179" s="6"/>
      <c r="MM179" s="6"/>
      <c r="MN179" s="6"/>
      <c r="MO179" s="6"/>
      <c r="MP179" s="6"/>
      <c r="MQ179" s="6"/>
      <c r="MR179" s="6"/>
      <c r="MS179" s="6"/>
      <c r="MT179" s="6"/>
      <c r="MU179" s="6"/>
      <c r="MV179" s="6"/>
      <c r="MW179" s="6"/>
      <c r="MX179" s="6"/>
      <c r="MY179" s="6"/>
      <c r="MZ179" s="6"/>
      <c r="NA179" s="6"/>
      <c r="NB179" s="6"/>
      <c r="NC179" s="6"/>
      <c r="ND179" s="6"/>
      <c r="NE179" s="6"/>
      <c r="NF179" s="6"/>
      <c r="NG179" s="6"/>
      <c r="NH179" s="6"/>
      <c r="NI179" s="6"/>
      <c r="NJ179" s="6"/>
      <c r="NK179" s="6"/>
      <c r="NL179" s="6"/>
      <c r="NM179" s="6"/>
      <c r="NN179" s="6"/>
      <c r="NO179" s="6"/>
      <c r="NP179" s="6"/>
      <c r="NQ179" s="6"/>
      <c r="NR179" s="6"/>
      <c r="NS179" s="6"/>
      <c r="NT179" s="6"/>
      <c r="NU179" s="6"/>
      <c r="NV179" s="6"/>
      <c r="NW179" s="6"/>
      <c r="NX179" s="6"/>
      <c r="NY179" s="6"/>
      <c r="NZ179" s="6"/>
      <c r="OA179" s="6"/>
      <c r="OB179" s="6"/>
      <c r="OC179" s="6"/>
      <c r="OD179" s="6"/>
      <c r="OE179" s="6"/>
      <c r="OF179" s="6"/>
      <c r="OG179" s="6"/>
      <c r="OH179" s="6"/>
      <c r="OI179" s="6"/>
      <c r="OJ179" s="6"/>
      <c r="OK179" s="6"/>
      <c r="OL179" s="6"/>
      <c r="OM179" s="6"/>
      <c r="ON179" s="6"/>
      <c r="OO179" s="6"/>
      <c r="OP179" s="6"/>
      <c r="OQ179" s="6"/>
      <c r="OR179" s="6"/>
      <c r="OS179" s="6"/>
      <c r="OT179" s="6"/>
      <c r="OU179" s="6"/>
      <c r="OV179" s="6"/>
      <c r="OW179" s="6"/>
      <c r="OX179" s="6"/>
      <c r="OY179" s="6"/>
      <c r="OZ179" s="6"/>
      <c r="PA179" s="6"/>
      <c r="PB179" s="6"/>
      <c r="PC179" s="6"/>
      <c r="PD179" s="6"/>
      <c r="PE179" s="6"/>
      <c r="PF179" s="6"/>
      <c r="PG179" s="6"/>
      <c r="PH179" s="6"/>
      <c r="PI179" s="6"/>
      <c r="PJ179" s="6"/>
      <c r="PK179" s="6"/>
      <c r="PL179" s="6"/>
      <c r="PM179" s="6"/>
      <c r="PN179" s="6"/>
      <c r="PO179" s="6"/>
      <c r="PP179" s="6"/>
      <c r="PQ179" s="6"/>
      <c r="PR179" s="6"/>
      <c r="PS179" s="6"/>
      <c r="PT179" s="6"/>
      <c r="PU179" s="6"/>
      <c r="PV179" s="6"/>
      <c r="PW179" s="6"/>
      <c r="PX179" s="6"/>
      <c r="PY179" s="6"/>
      <c r="PZ179" s="6"/>
      <c r="QA179" s="6"/>
      <c r="QB179" s="6"/>
      <c r="QC179" s="6"/>
      <c r="QD179" s="6"/>
      <c r="QE179" s="6"/>
      <c r="QF179" s="6"/>
      <c r="QG179" s="6"/>
      <c r="QH179" s="6"/>
      <c r="QI179" s="6"/>
      <c r="QJ179" s="6"/>
      <c r="QK179" s="6"/>
      <c r="QL179" s="6"/>
      <c r="QM179" s="6"/>
      <c r="QN179" s="6"/>
      <c r="QO179" s="6"/>
      <c r="QP179" s="6"/>
      <c r="QQ179" s="6"/>
      <c r="QR179" s="6"/>
      <c r="QS179" s="6"/>
      <c r="QT179" s="6"/>
      <c r="QU179" s="6"/>
      <c r="QV179" s="6"/>
      <c r="QW179" s="6"/>
      <c r="QX179" s="6"/>
      <c r="QY179" s="6"/>
      <c r="QZ179" s="6"/>
      <c r="RA179" s="6"/>
      <c r="RB179" s="6"/>
      <c r="RC179" s="6"/>
      <c r="RD179" s="6"/>
      <c r="RE179" s="6"/>
      <c r="RF179" s="6"/>
      <c r="RG179" s="6"/>
      <c r="RH179" s="6"/>
      <c r="RI179" s="6"/>
      <c r="RJ179" s="6"/>
      <c r="RK179" s="6"/>
      <c r="RL179" s="6"/>
      <c r="RM179" s="6"/>
      <c r="RN179" s="6"/>
      <c r="RO179" s="6"/>
      <c r="RP179" s="6"/>
      <c r="RQ179" s="6"/>
      <c r="RR179" s="6"/>
      <c r="RS179" s="6"/>
      <c r="RT179" s="6"/>
      <c r="RU179" s="6"/>
      <c r="RV179" s="6"/>
      <c r="RW179" s="6"/>
      <c r="RX179" s="6"/>
      <c r="RY179" s="6"/>
      <c r="RZ179" s="6"/>
      <c r="SA179" s="6"/>
      <c r="SB179" s="6"/>
      <c r="SC179" s="6"/>
      <c r="SD179" s="6"/>
      <c r="SE179" s="6"/>
      <c r="SF179" s="6"/>
      <c r="SG179" s="6"/>
      <c r="SH179" s="6"/>
      <c r="SI179" s="6"/>
      <c r="SJ179" s="6"/>
      <c r="SK179" s="6"/>
      <c r="SL179" s="6"/>
      <c r="SM179" s="6"/>
      <c r="SN179" s="6"/>
      <c r="SO179" s="6"/>
      <c r="SP179" s="6"/>
      <c r="SQ179" s="6"/>
      <c r="SR179" s="6"/>
      <c r="SS179" s="6"/>
      <c r="ST179" s="6"/>
      <c r="SU179" s="6"/>
      <c r="SV179" s="6"/>
      <c r="SW179" s="6"/>
      <c r="SX179" s="6"/>
      <c r="SY179" s="6"/>
      <c r="SZ179" s="6"/>
      <c r="TA179" s="6"/>
      <c r="TB179" s="6"/>
      <c r="TC179" s="6"/>
      <c r="TD179" s="6"/>
      <c r="TE179" s="6"/>
      <c r="TF179" s="6"/>
      <c r="TG179" s="6"/>
      <c r="TH179" s="6"/>
      <c r="TI179" s="6"/>
      <c r="TJ179" s="6"/>
      <c r="TK179" s="6"/>
      <c r="TL179" s="6"/>
      <c r="TM179" s="6"/>
      <c r="TN179" s="6"/>
      <c r="TO179" s="6"/>
      <c r="TP179" s="6"/>
      <c r="TQ179" s="6"/>
      <c r="TR179" s="6"/>
      <c r="TS179" s="6"/>
      <c r="TT179" s="6"/>
      <c r="TU179" s="6"/>
      <c r="TV179" s="6"/>
      <c r="TW179" s="6"/>
      <c r="TX179" s="6"/>
      <c r="TY179" s="6"/>
      <c r="TZ179" s="6"/>
      <c r="UA179" s="6"/>
      <c r="UB179" s="6"/>
      <c r="UC179" s="6"/>
      <c r="UD179" s="6"/>
      <c r="UE179" s="6"/>
      <c r="UF179" s="6"/>
      <c r="UG179" s="6"/>
      <c r="UH179" s="6"/>
      <c r="UI179" s="6"/>
      <c r="UJ179" s="6"/>
      <c r="UK179" s="6"/>
      <c r="UL179" s="6"/>
      <c r="UM179" s="6"/>
      <c r="UN179" s="6"/>
      <c r="UO179" s="6"/>
      <c r="UP179" s="6"/>
      <c r="UQ179" s="6"/>
      <c r="UR179" s="6"/>
      <c r="US179" s="6"/>
      <c r="UT179" s="6"/>
      <c r="UU179" s="6"/>
      <c r="UV179" s="6"/>
      <c r="UW179" s="6"/>
      <c r="UX179" s="6"/>
      <c r="UY179" s="6"/>
      <c r="UZ179" s="6"/>
      <c r="VA179" s="6"/>
      <c r="VB179" s="6"/>
      <c r="VC179" s="6"/>
      <c r="VD179" s="6"/>
      <c r="VE179" s="6"/>
      <c r="VF179" s="6"/>
      <c r="VG179" s="6"/>
      <c r="VH179" s="6"/>
      <c r="VI179" s="6"/>
      <c r="VJ179" s="6"/>
      <c r="VK179" s="6"/>
      <c r="VL179" s="6"/>
      <c r="VM179" s="6"/>
      <c r="VN179" s="6"/>
      <c r="VO179" s="6"/>
      <c r="VP179" s="6"/>
      <c r="VQ179" s="6"/>
      <c r="VR179" s="6"/>
      <c r="VS179" s="6"/>
      <c r="VT179" s="6"/>
      <c r="VU179" s="6"/>
      <c r="VV179" s="6"/>
      <c r="VW179" s="6"/>
      <c r="VX179" s="6"/>
      <c r="VY179" s="6"/>
      <c r="VZ179" s="6"/>
      <c r="WA179" s="6"/>
      <c r="WB179" s="6"/>
      <c r="WC179" s="6"/>
      <c r="WD179" s="6"/>
      <c r="WE179" s="6"/>
      <c r="WF179" s="6"/>
      <c r="WG179" s="6"/>
      <c r="WH179" s="6"/>
      <c r="WI179" s="6"/>
      <c r="WJ179" s="6"/>
      <c r="WK179" s="6"/>
      <c r="WL179" s="6"/>
      <c r="WM179" s="6"/>
      <c r="WN179" s="6"/>
      <c r="WO179" s="6"/>
      <c r="WP179" s="6"/>
      <c r="WQ179" s="6"/>
      <c r="WR179" s="6"/>
      <c r="WS179" s="6"/>
      <c r="WT179" s="6"/>
      <c r="WU179" s="6"/>
      <c r="WV179" s="6"/>
      <c r="WW179" s="6"/>
      <c r="WX179" s="6"/>
      <c r="WY179" s="6"/>
      <c r="WZ179" s="6"/>
      <c r="XA179" s="6"/>
      <c r="XB179" s="6"/>
      <c r="XC179" s="6"/>
      <c r="XD179" s="6"/>
      <c r="XE179" s="6"/>
      <c r="XF179" s="6"/>
      <c r="XG179" s="6"/>
      <c r="XH179" s="6"/>
      <c r="XI179" s="6"/>
      <c r="XJ179" s="6"/>
      <c r="XK179" s="6"/>
      <c r="XL179" s="6"/>
      <c r="XM179" s="6"/>
      <c r="XN179" s="6"/>
      <c r="XO179" s="6"/>
      <c r="XP179" s="6"/>
      <c r="XQ179" s="6"/>
      <c r="XR179" s="6"/>
      <c r="XS179" s="6"/>
      <c r="XT179" s="6"/>
      <c r="XU179" s="6"/>
      <c r="XV179" s="6"/>
      <c r="XW179" s="6"/>
      <c r="XX179" s="6"/>
      <c r="XY179" s="6"/>
      <c r="XZ179" s="6"/>
      <c r="YA179" s="6"/>
      <c r="YB179" s="6"/>
      <c r="YC179" s="6"/>
      <c r="YD179" s="6"/>
      <c r="YE179" s="6"/>
      <c r="YF179" s="6"/>
      <c r="YG179" s="6"/>
      <c r="YH179" s="6"/>
      <c r="YI179" s="6"/>
      <c r="YJ179" s="6"/>
      <c r="YK179" s="6"/>
      <c r="YL179" s="6"/>
      <c r="YM179" s="6"/>
      <c r="YN179" s="6"/>
      <c r="YO179" s="6"/>
      <c r="YP179" s="6"/>
      <c r="YQ179" s="6"/>
      <c r="YR179" s="6"/>
      <c r="YS179" s="6"/>
      <c r="YT179" s="6"/>
      <c r="YU179" s="6"/>
      <c r="YV179" s="6"/>
      <c r="YW179" s="6"/>
      <c r="YX179" s="6"/>
      <c r="YY179" s="6"/>
      <c r="YZ179" s="6"/>
      <c r="ZA179" s="6"/>
      <c r="ZB179" s="6"/>
      <c r="ZC179" s="6"/>
      <c r="ZD179" s="6"/>
      <c r="ZE179" s="6"/>
      <c r="ZF179" s="6"/>
      <c r="ZG179" s="6"/>
      <c r="ZH179" s="6"/>
      <c r="ZI179" s="6"/>
      <c r="ZJ179" s="6"/>
      <c r="ZK179" s="6"/>
      <c r="ZL179" s="6"/>
      <c r="ZM179" s="6"/>
      <c r="ZN179" s="6"/>
      <c r="ZO179" s="6"/>
      <c r="ZP179" s="6"/>
      <c r="ZQ179" s="6"/>
      <c r="ZR179" s="6"/>
      <c r="ZS179" s="6"/>
      <c r="ZT179" s="6"/>
      <c r="ZU179" s="6"/>
      <c r="ZV179" s="6"/>
      <c r="ZW179" s="6"/>
      <c r="ZX179" s="6"/>
      <c r="ZY179" s="6"/>
      <c r="ZZ179" s="6"/>
      <c r="AAA179" s="6"/>
      <c r="AAB179" s="6"/>
      <c r="AAC179" s="6"/>
      <c r="AAD179" s="6"/>
      <c r="AAE179" s="6"/>
      <c r="AAF179" s="6"/>
      <c r="AAG179" s="6"/>
      <c r="AAH179" s="6"/>
      <c r="AAI179" s="6"/>
      <c r="AAJ179" s="6"/>
      <c r="AAK179" s="6"/>
      <c r="AAL179" s="6"/>
      <c r="AAM179" s="6"/>
      <c r="AAN179" s="6"/>
      <c r="AAO179" s="6"/>
      <c r="AAP179" s="6"/>
      <c r="AAQ179" s="6"/>
      <c r="AAR179" s="6"/>
      <c r="AAS179" s="6"/>
      <c r="AAT179" s="6"/>
      <c r="AAU179" s="6"/>
      <c r="AAV179" s="6"/>
      <c r="AAW179" s="6"/>
      <c r="AAX179" s="6"/>
      <c r="AAY179" s="6"/>
      <c r="AAZ179" s="6"/>
      <c r="ABA179" s="6"/>
      <c r="ABB179" s="6"/>
      <c r="ABC179" s="6"/>
      <c r="ABD179" s="6"/>
      <c r="ABE179" s="6"/>
      <c r="ABF179" s="6"/>
      <c r="ABG179" s="6"/>
      <c r="ABH179" s="6"/>
      <c r="ABI179" s="6"/>
      <c r="ABJ179" s="6"/>
      <c r="ABK179" s="6"/>
      <c r="ABL179" s="6"/>
      <c r="ABM179" s="6"/>
      <c r="ABN179" s="6"/>
      <c r="ABO179" s="6"/>
      <c r="ABP179" s="6"/>
      <c r="ABQ179" s="6"/>
      <c r="ABR179" s="6"/>
      <c r="ABS179" s="6"/>
      <c r="ABT179" s="6"/>
      <c r="ABU179" s="6"/>
      <c r="ABV179" s="6"/>
      <c r="ABW179" s="6"/>
      <c r="ABX179" s="6"/>
      <c r="ABY179" s="6"/>
      <c r="ABZ179" s="6"/>
      <c r="ACA179" s="6"/>
      <c r="ACB179" s="6"/>
      <c r="ACC179" s="6"/>
      <c r="ACD179" s="6"/>
      <c r="ACE179" s="6"/>
      <c r="ACF179" s="6"/>
      <c r="ACG179" s="6"/>
      <c r="ACH179" s="6"/>
      <c r="ACI179" s="6"/>
      <c r="ACJ179" s="6"/>
      <c r="ACK179" s="6"/>
      <c r="ACL179" s="6"/>
      <c r="ACM179" s="6"/>
      <c r="ACN179" s="6"/>
      <c r="ACO179" s="6"/>
      <c r="ACP179" s="6"/>
      <c r="ACQ179" s="6"/>
      <c r="ACR179" s="6"/>
      <c r="ACS179" s="6"/>
      <c r="ACT179" s="6"/>
      <c r="ACU179" s="6"/>
      <c r="ACV179" s="6"/>
      <c r="ACW179" s="6"/>
      <c r="ACX179" s="6"/>
      <c r="ACY179" s="6"/>
      <c r="ACZ179" s="6"/>
      <c r="ADA179" s="6"/>
      <c r="ADB179" s="6"/>
      <c r="ADC179" s="6"/>
      <c r="ADD179" s="6"/>
      <c r="ADE179" s="6"/>
      <c r="ADF179" s="6"/>
      <c r="ADG179" s="6"/>
      <c r="ADH179" s="6"/>
      <c r="ADI179" s="6"/>
      <c r="ADJ179" s="6"/>
    </row>
    <row r="180" spans="1:790" s="291" customFormat="1" x14ac:dyDescent="0.3">
      <c r="A180" s="399"/>
      <c r="B180" s="571" t="s">
        <v>119</v>
      </c>
      <c r="C180" s="366"/>
      <c r="D180" s="367">
        <f>2.4+1</f>
        <v>3.4</v>
      </c>
      <c r="E180" s="367">
        <f>1.8+1</f>
        <v>2.8</v>
      </c>
      <c r="F180" s="362"/>
      <c r="G180" s="362">
        <v>0.1</v>
      </c>
      <c r="H180" s="362">
        <f t="shared" si="181"/>
        <v>0.95199999999999996</v>
      </c>
      <c r="I180" s="369" t="s">
        <v>22</v>
      </c>
      <c r="J180" s="362">
        <f>+PRODUCT(C180:G180)</f>
        <v>0.95199999999999996</v>
      </c>
      <c r="K180" s="363">
        <v>150</v>
      </c>
      <c r="L180" s="370">
        <f t="shared" si="176"/>
        <v>142.79999999999998</v>
      </c>
      <c r="M180" s="490">
        <f t="shared" si="177"/>
        <v>125.25</v>
      </c>
      <c r="N180" s="489">
        <f t="shared" si="138"/>
        <v>119.238</v>
      </c>
      <c r="O180" s="308"/>
      <c r="Q180" s="497"/>
      <c r="R180" s="481">
        <f t="shared" si="148"/>
        <v>0.95199999999999996</v>
      </c>
      <c r="S180" s="514">
        <f>S179</f>
        <v>15</v>
      </c>
      <c r="T180" s="515">
        <f t="shared" si="143"/>
        <v>14.28</v>
      </c>
      <c r="U180" s="482">
        <f t="shared" si="144"/>
        <v>0.95199999999999996</v>
      </c>
      <c r="V180" s="514">
        <f>V179</f>
        <v>100</v>
      </c>
      <c r="W180" s="515">
        <f t="shared" si="145"/>
        <v>95.199999999999989</v>
      </c>
      <c r="X180" s="507">
        <f t="shared" si="178"/>
        <v>115</v>
      </c>
      <c r="Y180" s="520">
        <f t="shared" si="179"/>
        <v>10.25</v>
      </c>
      <c r="Z180" s="521">
        <f t="shared" si="180"/>
        <v>8.1836327345309379E-2</v>
      </c>
      <c r="AA180" s="471"/>
      <c r="AB180" s="471"/>
      <c r="AC180" s="471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  <c r="IM180" s="6"/>
      <c r="IN180" s="6"/>
      <c r="IO180" s="6"/>
      <c r="IP180" s="6"/>
      <c r="IQ180" s="6"/>
      <c r="IR180" s="6"/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6"/>
      <c r="KZ180" s="6"/>
      <c r="LA180" s="6"/>
      <c r="LB180" s="6"/>
      <c r="LC180" s="6"/>
      <c r="LD180" s="6"/>
      <c r="LE180" s="6"/>
      <c r="LF180" s="6"/>
      <c r="LG180" s="6"/>
      <c r="LH180" s="6"/>
      <c r="LI180" s="6"/>
      <c r="LJ180" s="6"/>
      <c r="LK180" s="6"/>
      <c r="LL180" s="6"/>
      <c r="LM180" s="6"/>
      <c r="LN180" s="6"/>
      <c r="LO180" s="6"/>
      <c r="LP180" s="6"/>
      <c r="LQ180" s="6"/>
      <c r="LR180" s="6"/>
      <c r="LS180" s="6"/>
      <c r="LT180" s="6"/>
      <c r="LU180" s="6"/>
      <c r="LV180" s="6"/>
      <c r="LW180" s="6"/>
      <c r="LX180" s="6"/>
      <c r="LY180" s="6"/>
      <c r="LZ180" s="6"/>
      <c r="MA180" s="6"/>
      <c r="MB180" s="6"/>
      <c r="MC180" s="6"/>
      <c r="MD180" s="6"/>
      <c r="ME180" s="6"/>
      <c r="MF180" s="6"/>
      <c r="MG180" s="6"/>
      <c r="MH180" s="6"/>
      <c r="MI180" s="6"/>
      <c r="MJ180" s="6"/>
      <c r="MK180" s="6"/>
      <c r="ML180" s="6"/>
      <c r="MM180" s="6"/>
      <c r="MN180" s="6"/>
      <c r="MO180" s="6"/>
      <c r="MP180" s="6"/>
      <c r="MQ180" s="6"/>
      <c r="MR180" s="6"/>
      <c r="MS180" s="6"/>
      <c r="MT180" s="6"/>
      <c r="MU180" s="6"/>
      <c r="MV180" s="6"/>
      <c r="MW180" s="6"/>
      <c r="MX180" s="6"/>
      <c r="MY180" s="6"/>
      <c r="MZ180" s="6"/>
      <c r="NA180" s="6"/>
      <c r="NB180" s="6"/>
      <c r="NC180" s="6"/>
      <c r="ND180" s="6"/>
      <c r="NE180" s="6"/>
      <c r="NF180" s="6"/>
      <c r="NG180" s="6"/>
      <c r="NH180" s="6"/>
      <c r="NI180" s="6"/>
      <c r="NJ180" s="6"/>
      <c r="NK180" s="6"/>
      <c r="NL180" s="6"/>
      <c r="NM180" s="6"/>
      <c r="NN180" s="6"/>
      <c r="NO180" s="6"/>
      <c r="NP180" s="6"/>
      <c r="NQ180" s="6"/>
      <c r="NR180" s="6"/>
      <c r="NS180" s="6"/>
      <c r="NT180" s="6"/>
      <c r="NU180" s="6"/>
      <c r="NV180" s="6"/>
      <c r="NW180" s="6"/>
      <c r="NX180" s="6"/>
      <c r="NY180" s="6"/>
      <c r="NZ180" s="6"/>
      <c r="OA180" s="6"/>
      <c r="OB180" s="6"/>
      <c r="OC180" s="6"/>
      <c r="OD180" s="6"/>
      <c r="OE180" s="6"/>
      <c r="OF180" s="6"/>
      <c r="OG180" s="6"/>
      <c r="OH180" s="6"/>
      <c r="OI180" s="6"/>
      <c r="OJ180" s="6"/>
      <c r="OK180" s="6"/>
      <c r="OL180" s="6"/>
      <c r="OM180" s="6"/>
      <c r="ON180" s="6"/>
      <c r="OO180" s="6"/>
      <c r="OP180" s="6"/>
      <c r="OQ180" s="6"/>
      <c r="OR180" s="6"/>
      <c r="OS180" s="6"/>
      <c r="OT180" s="6"/>
      <c r="OU180" s="6"/>
      <c r="OV180" s="6"/>
      <c r="OW180" s="6"/>
      <c r="OX180" s="6"/>
      <c r="OY180" s="6"/>
      <c r="OZ180" s="6"/>
      <c r="PA180" s="6"/>
      <c r="PB180" s="6"/>
      <c r="PC180" s="6"/>
      <c r="PD180" s="6"/>
      <c r="PE180" s="6"/>
      <c r="PF180" s="6"/>
      <c r="PG180" s="6"/>
      <c r="PH180" s="6"/>
      <c r="PI180" s="6"/>
      <c r="PJ180" s="6"/>
      <c r="PK180" s="6"/>
      <c r="PL180" s="6"/>
      <c r="PM180" s="6"/>
      <c r="PN180" s="6"/>
      <c r="PO180" s="6"/>
      <c r="PP180" s="6"/>
      <c r="PQ180" s="6"/>
      <c r="PR180" s="6"/>
      <c r="PS180" s="6"/>
      <c r="PT180" s="6"/>
      <c r="PU180" s="6"/>
      <c r="PV180" s="6"/>
      <c r="PW180" s="6"/>
      <c r="PX180" s="6"/>
      <c r="PY180" s="6"/>
      <c r="PZ180" s="6"/>
      <c r="QA180" s="6"/>
      <c r="QB180" s="6"/>
      <c r="QC180" s="6"/>
      <c r="QD180" s="6"/>
      <c r="QE180" s="6"/>
      <c r="QF180" s="6"/>
      <c r="QG180" s="6"/>
      <c r="QH180" s="6"/>
      <c r="QI180" s="6"/>
      <c r="QJ180" s="6"/>
      <c r="QK180" s="6"/>
      <c r="QL180" s="6"/>
      <c r="QM180" s="6"/>
      <c r="QN180" s="6"/>
      <c r="QO180" s="6"/>
      <c r="QP180" s="6"/>
      <c r="QQ180" s="6"/>
      <c r="QR180" s="6"/>
      <c r="QS180" s="6"/>
      <c r="QT180" s="6"/>
      <c r="QU180" s="6"/>
      <c r="QV180" s="6"/>
      <c r="QW180" s="6"/>
      <c r="QX180" s="6"/>
      <c r="QY180" s="6"/>
      <c r="QZ180" s="6"/>
      <c r="RA180" s="6"/>
      <c r="RB180" s="6"/>
      <c r="RC180" s="6"/>
      <c r="RD180" s="6"/>
      <c r="RE180" s="6"/>
      <c r="RF180" s="6"/>
      <c r="RG180" s="6"/>
      <c r="RH180" s="6"/>
      <c r="RI180" s="6"/>
      <c r="RJ180" s="6"/>
      <c r="RK180" s="6"/>
      <c r="RL180" s="6"/>
      <c r="RM180" s="6"/>
      <c r="RN180" s="6"/>
      <c r="RO180" s="6"/>
      <c r="RP180" s="6"/>
      <c r="RQ180" s="6"/>
      <c r="RR180" s="6"/>
      <c r="RS180" s="6"/>
      <c r="RT180" s="6"/>
      <c r="RU180" s="6"/>
      <c r="RV180" s="6"/>
      <c r="RW180" s="6"/>
      <c r="RX180" s="6"/>
      <c r="RY180" s="6"/>
      <c r="RZ180" s="6"/>
      <c r="SA180" s="6"/>
      <c r="SB180" s="6"/>
      <c r="SC180" s="6"/>
      <c r="SD180" s="6"/>
      <c r="SE180" s="6"/>
      <c r="SF180" s="6"/>
      <c r="SG180" s="6"/>
      <c r="SH180" s="6"/>
      <c r="SI180" s="6"/>
      <c r="SJ180" s="6"/>
      <c r="SK180" s="6"/>
      <c r="SL180" s="6"/>
      <c r="SM180" s="6"/>
      <c r="SN180" s="6"/>
      <c r="SO180" s="6"/>
      <c r="SP180" s="6"/>
      <c r="SQ180" s="6"/>
      <c r="SR180" s="6"/>
      <c r="SS180" s="6"/>
      <c r="ST180" s="6"/>
      <c r="SU180" s="6"/>
      <c r="SV180" s="6"/>
      <c r="SW180" s="6"/>
      <c r="SX180" s="6"/>
      <c r="SY180" s="6"/>
      <c r="SZ180" s="6"/>
      <c r="TA180" s="6"/>
      <c r="TB180" s="6"/>
      <c r="TC180" s="6"/>
      <c r="TD180" s="6"/>
      <c r="TE180" s="6"/>
      <c r="TF180" s="6"/>
      <c r="TG180" s="6"/>
      <c r="TH180" s="6"/>
      <c r="TI180" s="6"/>
      <c r="TJ180" s="6"/>
      <c r="TK180" s="6"/>
      <c r="TL180" s="6"/>
      <c r="TM180" s="6"/>
      <c r="TN180" s="6"/>
      <c r="TO180" s="6"/>
      <c r="TP180" s="6"/>
      <c r="TQ180" s="6"/>
      <c r="TR180" s="6"/>
      <c r="TS180" s="6"/>
      <c r="TT180" s="6"/>
      <c r="TU180" s="6"/>
      <c r="TV180" s="6"/>
      <c r="TW180" s="6"/>
      <c r="TX180" s="6"/>
      <c r="TY180" s="6"/>
      <c r="TZ180" s="6"/>
      <c r="UA180" s="6"/>
      <c r="UB180" s="6"/>
      <c r="UC180" s="6"/>
      <c r="UD180" s="6"/>
      <c r="UE180" s="6"/>
      <c r="UF180" s="6"/>
      <c r="UG180" s="6"/>
      <c r="UH180" s="6"/>
      <c r="UI180" s="6"/>
      <c r="UJ180" s="6"/>
      <c r="UK180" s="6"/>
      <c r="UL180" s="6"/>
      <c r="UM180" s="6"/>
      <c r="UN180" s="6"/>
      <c r="UO180" s="6"/>
      <c r="UP180" s="6"/>
      <c r="UQ180" s="6"/>
      <c r="UR180" s="6"/>
      <c r="US180" s="6"/>
      <c r="UT180" s="6"/>
      <c r="UU180" s="6"/>
      <c r="UV180" s="6"/>
      <c r="UW180" s="6"/>
      <c r="UX180" s="6"/>
      <c r="UY180" s="6"/>
      <c r="UZ180" s="6"/>
      <c r="VA180" s="6"/>
      <c r="VB180" s="6"/>
      <c r="VC180" s="6"/>
      <c r="VD180" s="6"/>
      <c r="VE180" s="6"/>
      <c r="VF180" s="6"/>
      <c r="VG180" s="6"/>
      <c r="VH180" s="6"/>
      <c r="VI180" s="6"/>
      <c r="VJ180" s="6"/>
      <c r="VK180" s="6"/>
      <c r="VL180" s="6"/>
      <c r="VM180" s="6"/>
      <c r="VN180" s="6"/>
      <c r="VO180" s="6"/>
      <c r="VP180" s="6"/>
      <c r="VQ180" s="6"/>
      <c r="VR180" s="6"/>
      <c r="VS180" s="6"/>
      <c r="VT180" s="6"/>
      <c r="VU180" s="6"/>
      <c r="VV180" s="6"/>
      <c r="VW180" s="6"/>
      <c r="VX180" s="6"/>
      <c r="VY180" s="6"/>
      <c r="VZ180" s="6"/>
      <c r="WA180" s="6"/>
      <c r="WB180" s="6"/>
      <c r="WC180" s="6"/>
      <c r="WD180" s="6"/>
      <c r="WE180" s="6"/>
      <c r="WF180" s="6"/>
      <c r="WG180" s="6"/>
      <c r="WH180" s="6"/>
      <c r="WI180" s="6"/>
      <c r="WJ180" s="6"/>
      <c r="WK180" s="6"/>
      <c r="WL180" s="6"/>
      <c r="WM180" s="6"/>
      <c r="WN180" s="6"/>
      <c r="WO180" s="6"/>
      <c r="WP180" s="6"/>
      <c r="WQ180" s="6"/>
      <c r="WR180" s="6"/>
      <c r="WS180" s="6"/>
      <c r="WT180" s="6"/>
      <c r="WU180" s="6"/>
      <c r="WV180" s="6"/>
      <c r="WW180" s="6"/>
      <c r="WX180" s="6"/>
      <c r="WY180" s="6"/>
      <c r="WZ180" s="6"/>
      <c r="XA180" s="6"/>
      <c r="XB180" s="6"/>
      <c r="XC180" s="6"/>
      <c r="XD180" s="6"/>
      <c r="XE180" s="6"/>
      <c r="XF180" s="6"/>
      <c r="XG180" s="6"/>
      <c r="XH180" s="6"/>
      <c r="XI180" s="6"/>
      <c r="XJ180" s="6"/>
      <c r="XK180" s="6"/>
      <c r="XL180" s="6"/>
      <c r="XM180" s="6"/>
      <c r="XN180" s="6"/>
      <c r="XO180" s="6"/>
      <c r="XP180" s="6"/>
      <c r="XQ180" s="6"/>
      <c r="XR180" s="6"/>
      <c r="XS180" s="6"/>
      <c r="XT180" s="6"/>
      <c r="XU180" s="6"/>
      <c r="XV180" s="6"/>
      <c r="XW180" s="6"/>
      <c r="XX180" s="6"/>
      <c r="XY180" s="6"/>
      <c r="XZ180" s="6"/>
      <c r="YA180" s="6"/>
      <c r="YB180" s="6"/>
      <c r="YC180" s="6"/>
      <c r="YD180" s="6"/>
      <c r="YE180" s="6"/>
      <c r="YF180" s="6"/>
      <c r="YG180" s="6"/>
      <c r="YH180" s="6"/>
      <c r="YI180" s="6"/>
      <c r="YJ180" s="6"/>
      <c r="YK180" s="6"/>
      <c r="YL180" s="6"/>
      <c r="YM180" s="6"/>
      <c r="YN180" s="6"/>
      <c r="YO180" s="6"/>
      <c r="YP180" s="6"/>
      <c r="YQ180" s="6"/>
      <c r="YR180" s="6"/>
      <c r="YS180" s="6"/>
      <c r="YT180" s="6"/>
      <c r="YU180" s="6"/>
      <c r="YV180" s="6"/>
      <c r="YW180" s="6"/>
      <c r="YX180" s="6"/>
      <c r="YY180" s="6"/>
      <c r="YZ180" s="6"/>
      <c r="ZA180" s="6"/>
      <c r="ZB180" s="6"/>
      <c r="ZC180" s="6"/>
      <c r="ZD180" s="6"/>
      <c r="ZE180" s="6"/>
      <c r="ZF180" s="6"/>
      <c r="ZG180" s="6"/>
      <c r="ZH180" s="6"/>
      <c r="ZI180" s="6"/>
      <c r="ZJ180" s="6"/>
      <c r="ZK180" s="6"/>
      <c r="ZL180" s="6"/>
      <c r="ZM180" s="6"/>
      <c r="ZN180" s="6"/>
      <c r="ZO180" s="6"/>
      <c r="ZP180" s="6"/>
      <c r="ZQ180" s="6"/>
      <c r="ZR180" s="6"/>
      <c r="ZS180" s="6"/>
      <c r="ZT180" s="6"/>
      <c r="ZU180" s="6"/>
      <c r="ZV180" s="6"/>
      <c r="ZW180" s="6"/>
      <c r="ZX180" s="6"/>
      <c r="ZY180" s="6"/>
      <c r="ZZ180" s="6"/>
      <c r="AAA180" s="6"/>
      <c r="AAB180" s="6"/>
      <c r="AAC180" s="6"/>
      <c r="AAD180" s="6"/>
      <c r="AAE180" s="6"/>
      <c r="AAF180" s="6"/>
      <c r="AAG180" s="6"/>
      <c r="AAH180" s="6"/>
      <c r="AAI180" s="6"/>
      <c r="AAJ180" s="6"/>
      <c r="AAK180" s="6"/>
      <c r="AAL180" s="6"/>
      <c r="AAM180" s="6"/>
      <c r="AAN180" s="6"/>
      <c r="AAO180" s="6"/>
      <c r="AAP180" s="6"/>
      <c r="AAQ180" s="6"/>
      <c r="AAR180" s="6"/>
      <c r="AAS180" s="6"/>
      <c r="AAT180" s="6"/>
      <c r="AAU180" s="6"/>
      <c r="AAV180" s="6"/>
      <c r="AAW180" s="6"/>
      <c r="AAX180" s="6"/>
      <c r="AAY180" s="6"/>
      <c r="AAZ180" s="6"/>
      <c r="ABA180" s="6"/>
      <c r="ABB180" s="6"/>
      <c r="ABC180" s="6"/>
      <c r="ABD180" s="6"/>
      <c r="ABE180" s="6"/>
      <c r="ABF180" s="6"/>
      <c r="ABG180" s="6"/>
      <c r="ABH180" s="6"/>
      <c r="ABI180" s="6"/>
      <c r="ABJ180" s="6"/>
      <c r="ABK180" s="6"/>
      <c r="ABL180" s="6"/>
      <c r="ABM180" s="6"/>
      <c r="ABN180" s="6"/>
      <c r="ABO180" s="6"/>
      <c r="ABP180" s="6"/>
      <c r="ABQ180" s="6"/>
      <c r="ABR180" s="6"/>
      <c r="ABS180" s="6"/>
      <c r="ABT180" s="6"/>
      <c r="ABU180" s="6"/>
      <c r="ABV180" s="6"/>
      <c r="ABW180" s="6"/>
      <c r="ABX180" s="6"/>
      <c r="ABY180" s="6"/>
      <c r="ABZ180" s="6"/>
      <c r="ACA180" s="6"/>
      <c r="ACB180" s="6"/>
      <c r="ACC180" s="6"/>
      <c r="ACD180" s="6"/>
      <c r="ACE180" s="6"/>
      <c r="ACF180" s="6"/>
      <c r="ACG180" s="6"/>
      <c r="ACH180" s="6"/>
      <c r="ACI180" s="6"/>
      <c r="ACJ180" s="6"/>
      <c r="ACK180" s="6"/>
      <c r="ACL180" s="6"/>
      <c r="ACM180" s="6"/>
      <c r="ACN180" s="6"/>
      <c r="ACO180" s="6"/>
      <c r="ACP180" s="6"/>
      <c r="ACQ180" s="6"/>
      <c r="ACR180" s="6"/>
      <c r="ACS180" s="6"/>
      <c r="ACT180" s="6"/>
      <c r="ACU180" s="6"/>
      <c r="ACV180" s="6"/>
      <c r="ACW180" s="6"/>
      <c r="ACX180" s="6"/>
      <c r="ACY180" s="6"/>
      <c r="ACZ180" s="6"/>
      <c r="ADA180" s="6"/>
      <c r="ADB180" s="6"/>
      <c r="ADC180" s="6"/>
      <c r="ADD180" s="6"/>
      <c r="ADE180" s="6"/>
      <c r="ADF180" s="6"/>
      <c r="ADG180" s="6"/>
      <c r="ADH180" s="6"/>
      <c r="ADI180" s="6"/>
      <c r="ADJ180" s="6"/>
    </row>
    <row r="181" spans="1:790" s="291" customFormat="1" x14ac:dyDescent="0.3">
      <c r="A181" s="399"/>
      <c r="B181" s="571"/>
      <c r="C181" s="366"/>
      <c r="D181" s="367"/>
      <c r="E181" s="367"/>
      <c r="F181" s="362"/>
      <c r="G181" s="362"/>
      <c r="H181" s="362"/>
      <c r="I181" s="369"/>
      <c r="J181" s="362"/>
      <c r="K181" s="363"/>
      <c r="L181" s="370"/>
      <c r="M181" s="490"/>
      <c r="N181" s="489" t="str">
        <f t="shared" si="138"/>
        <v/>
      </c>
      <c r="O181" s="308"/>
      <c r="Q181" s="497"/>
      <c r="R181" s="481"/>
      <c r="S181" s="514"/>
      <c r="T181" s="515" t="str">
        <f t="shared" si="143"/>
        <v/>
      </c>
      <c r="U181" s="482" t="str">
        <f t="shared" si="144"/>
        <v/>
      </c>
      <c r="V181" s="514"/>
      <c r="W181" s="515" t="str">
        <f t="shared" si="145"/>
        <v/>
      </c>
      <c r="X181" s="507"/>
      <c r="Y181" s="507"/>
      <c r="Z181" s="478"/>
      <c r="AA181" s="471"/>
      <c r="AB181" s="471"/>
      <c r="AC181" s="471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6"/>
      <c r="KZ181" s="6"/>
      <c r="LA181" s="6"/>
      <c r="LB181" s="6"/>
      <c r="LC181" s="6"/>
      <c r="LD181" s="6"/>
      <c r="LE181" s="6"/>
      <c r="LF181" s="6"/>
      <c r="LG181" s="6"/>
      <c r="LH181" s="6"/>
      <c r="LI181" s="6"/>
      <c r="LJ181" s="6"/>
      <c r="LK181" s="6"/>
      <c r="LL181" s="6"/>
      <c r="LM181" s="6"/>
      <c r="LN181" s="6"/>
      <c r="LO181" s="6"/>
      <c r="LP181" s="6"/>
      <c r="LQ181" s="6"/>
      <c r="LR181" s="6"/>
      <c r="LS181" s="6"/>
      <c r="LT181" s="6"/>
      <c r="LU181" s="6"/>
      <c r="LV181" s="6"/>
      <c r="LW181" s="6"/>
      <c r="LX181" s="6"/>
      <c r="LY181" s="6"/>
      <c r="LZ181" s="6"/>
      <c r="MA181" s="6"/>
      <c r="MB181" s="6"/>
      <c r="MC181" s="6"/>
      <c r="MD181" s="6"/>
      <c r="ME181" s="6"/>
      <c r="MF181" s="6"/>
      <c r="MG181" s="6"/>
      <c r="MH181" s="6"/>
      <c r="MI181" s="6"/>
      <c r="MJ181" s="6"/>
      <c r="MK181" s="6"/>
      <c r="ML181" s="6"/>
      <c r="MM181" s="6"/>
      <c r="MN181" s="6"/>
      <c r="MO181" s="6"/>
      <c r="MP181" s="6"/>
      <c r="MQ181" s="6"/>
      <c r="MR181" s="6"/>
      <c r="MS181" s="6"/>
      <c r="MT181" s="6"/>
      <c r="MU181" s="6"/>
      <c r="MV181" s="6"/>
      <c r="MW181" s="6"/>
      <c r="MX181" s="6"/>
      <c r="MY181" s="6"/>
      <c r="MZ181" s="6"/>
      <c r="NA181" s="6"/>
      <c r="NB181" s="6"/>
      <c r="NC181" s="6"/>
      <c r="ND181" s="6"/>
      <c r="NE181" s="6"/>
      <c r="NF181" s="6"/>
      <c r="NG181" s="6"/>
      <c r="NH181" s="6"/>
      <c r="NI181" s="6"/>
      <c r="NJ181" s="6"/>
      <c r="NK181" s="6"/>
      <c r="NL181" s="6"/>
      <c r="NM181" s="6"/>
      <c r="NN181" s="6"/>
      <c r="NO181" s="6"/>
      <c r="NP181" s="6"/>
      <c r="NQ181" s="6"/>
      <c r="NR181" s="6"/>
      <c r="NS181" s="6"/>
      <c r="NT181" s="6"/>
      <c r="NU181" s="6"/>
      <c r="NV181" s="6"/>
      <c r="NW181" s="6"/>
      <c r="NX181" s="6"/>
      <c r="NY181" s="6"/>
      <c r="NZ181" s="6"/>
      <c r="OA181" s="6"/>
      <c r="OB181" s="6"/>
      <c r="OC181" s="6"/>
      <c r="OD181" s="6"/>
      <c r="OE181" s="6"/>
      <c r="OF181" s="6"/>
      <c r="OG181" s="6"/>
      <c r="OH181" s="6"/>
      <c r="OI181" s="6"/>
      <c r="OJ181" s="6"/>
      <c r="OK181" s="6"/>
      <c r="OL181" s="6"/>
      <c r="OM181" s="6"/>
      <c r="ON181" s="6"/>
      <c r="OO181" s="6"/>
      <c r="OP181" s="6"/>
      <c r="OQ181" s="6"/>
      <c r="OR181" s="6"/>
      <c r="OS181" s="6"/>
      <c r="OT181" s="6"/>
      <c r="OU181" s="6"/>
      <c r="OV181" s="6"/>
      <c r="OW181" s="6"/>
      <c r="OX181" s="6"/>
      <c r="OY181" s="6"/>
      <c r="OZ181" s="6"/>
      <c r="PA181" s="6"/>
      <c r="PB181" s="6"/>
      <c r="PC181" s="6"/>
      <c r="PD181" s="6"/>
      <c r="PE181" s="6"/>
      <c r="PF181" s="6"/>
      <c r="PG181" s="6"/>
      <c r="PH181" s="6"/>
      <c r="PI181" s="6"/>
      <c r="PJ181" s="6"/>
      <c r="PK181" s="6"/>
      <c r="PL181" s="6"/>
      <c r="PM181" s="6"/>
      <c r="PN181" s="6"/>
      <c r="PO181" s="6"/>
      <c r="PP181" s="6"/>
      <c r="PQ181" s="6"/>
      <c r="PR181" s="6"/>
      <c r="PS181" s="6"/>
      <c r="PT181" s="6"/>
      <c r="PU181" s="6"/>
      <c r="PV181" s="6"/>
      <c r="PW181" s="6"/>
      <c r="PX181" s="6"/>
      <c r="PY181" s="6"/>
      <c r="PZ181" s="6"/>
      <c r="QA181" s="6"/>
      <c r="QB181" s="6"/>
      <c r="QC181" s="6"/>
      <c r="QD181" s="6"/>
      <c r="QE181" s="6"/>
      <c r="QF181" s="6"/>
      <c r="QG181" s="6"/>
      <c r="QH181" s="6"/>
      <c r="QI181" s="6"/>
      <c r="QJ181" s="6"/>
      <c r="QK181" s="6"/>
      <c r="QL181" s="6"/>
      <c r="QM181" s="6"/>
      <c r="QN181" s="6"/>
      <c r="QO181" s="6"/>
      <c r="QP181" s="6"/>
      <c r="QQ181" s="6"/>
      <c r="QR181" s="6"/>
      <c r="QS181" s="6"/>
      <c r="QT181" s="6"/>
      <c r="QU181" s="6"/>
      <c r="QV181" s="6"/>
      <c r="QW181" s="6"/>
      <c r="QX181" s="6"/>
      <c r="QY181" s="6"/>
      <c r="QZ181" s="6"/>
      <c r="RA181" s="6"/>
      <c r="RB181" s="6"/>
      <c r="RC181" s="6"/>
      <c r="RD181" s="6"/>
      <c r="RE181" s="6"/>
      <c r="RF181" s="6"/>
      <c r="RG181" s="6"/>
      <c r="RH181" s="6"/>
      <c r="RI181" s="6"/>
      <c r="RJ181" s="6"/>
      <c r="RK181" s="6"/>
      <c r="RL181" s="6"/>
      <c r="RM181" s="6"/>
      <c r="RN181" s="6"/>
      <c r="RO181" s="6"/>
      <c r="RP181" s="6"/>
      <c r="RQ181" s="6"/>
      <c r="RR181" s="6"/>
      <c r="RS181" s="6"/>
      <c r="RT181" s="6"/>
      <c r="RU181" s="6"/>
      <c r="RV181" s="6"/>
      <c r="RW181" s="6"/>
      <c r="RX181" s="6"/>
      <c r="RY181" s="6"/>
      <c r="RZ181" s="6"/>
      <c r="SA181" s="6"/>
      <c r="SB181" s="6"/>
      <c r="SC181" s="6"/>
      <c r="SD181" s="6"/>
      <c r="SE181" s="6"/>
      <c r="SF181" s="6"/>
      <c r="SG181" s="6"/>
      <c r="SH181" s="6"/>
      <c r="SI181" s="6"/>
      <c r="SJ181" s="6"/>
      <c r="SK181" s="6"/>
      <c r="SL181" s="6"/>
      <c r="SM181" s="6"/>
      <c r="SN181" s="6"/>
      <c r="SO181" s="6"/>
      <c r="SP181" s="6"/>
      <c r="SQ181" s="6"/>
      <c r="SR181" s="6"/>
      <c r="SS181" s="6"/>
      <c r="ST181" s="6"/>
      <c r="SU181" s="6"/>
      <c r="SV181" s="6"/>
      <c r="SW181" s="6"/>
      <c r="SX181" s="6"/>
      <c r="SY181" s="6"/>
      <c r="SZ181" s="6"/>
      <c r="TA181" s="6"/>
      <c r="TB181" s="6"/>
      <c r="TC181" s="6"/>
      <c r="TD181" s="6"/>
      <c r="TE181" s="6"/>
      <c r="TF181" s="6"/>
      <c r="TG181" s="6"/>
      <c r="TH181" s="6"/>
      <c r="TI181" s="6"/>
      <c r="TJ181" s="6"/>
      <c r="TK181" s="6"/>
      <c r="TL181" s="6"/>
      <c r="TM181" s="6"/>
      <c r="TN181" s="6"/>
      <c r="TO181" s="6"/>
      <c r="TP181" s="6"/>
      <c r="TQ181" s="6"/>
      <c r="TR181" s="6"/>
      <c r="TS181" s="6"/>
      <c r="TT181" s="6"/>
      <c r="TU181" s="6"/>
      <c r="TV181" s="6"/>
      <c r="TW181" s="6"/>
      <c r="TX181" s="6"/>
      <c r="TY181" s="6"/>
      <c r="TZ181" s="6"/>
      <c r="UA181" s="6"/>
      <c r="UB181" s="6"/>
      <c r="UC181" s="6"/>
      <c r="UD181" s="6"/>
      <c r="UE181" s="6"/>
      <c r="UF181" s="6"/>
      <c r="UG181" s="6"/>
      <c r="UH181" s="6"/>
      <c r="UI181" s="6"/>
      <c r="UJ181" s="6"/>
      <c r="UK181" s="6"/>
      <c r="UL181" s="6"/>
      <c r="UM181" s="6"/>
      <c r="UN181" s="6"/>
      <c r="UO181" s="6"/>
      <c r="UP181" s="6"/>
      <c r="UQ181" s="6"/>
      <c r="UR181" s="6"/>
      <c r="US181" s="6"/>
      <c r="UT181" s="6"/>
      <c r="UU181" s="6"/>
      <c r="UV181" s="6"/>
      <c r="UW181" s="6"/>
      <c r="UX181" s="6"/>
      <c r="UY181" s="6"/>
      <c r="UZ181" s="6"/>
      <c r="VA181" s="6"/>
      <c r="VB181" s="6"/>
      <c r="VC181" s="6"/>
      <c r="VD181" s="6"/>
      <c r="VE181" s="6"/>
      <c r="VF181" s="6"/>
      <c r="VG181" s="6"/>
      <c r="VH181" s="6"/>
      <c r="VI181" s="6"/>
      <c r="VJ181" s="6"/>
      <c r="VK181" s="6"/>
      <c r="VL181" s="6"/>
      <c r="VM181" s="6"/>
      <c r="VN181" s="6"/>
      <c r="VO181" s="6"/>
      <c r="VP181" s="6"/>
      <c r="VQ181" s="6"/>
      <c r="VR181" s="6"/>
      <c r="VS181" s="6"/>
      <c r="VT181" s="6"/>
      <c r="VU181" s="6"/>
      <c r="VV181" s="6"/>
      <c r="VW181" s="6"/>
      <c r="VX181" s="6"/>
      <c r="VY181" s="6"/>
      <c r="VZ181" s="6"/>
      <c r="WA181" s="6"/>
      <c r="WB181" s="6"/>
      <c r="WC181" s="6"/>
      <c r="WD181" s="6"/>
      <c r="WE181" s="6"/>
      <c r="WF181" s="6"/>
      <c r="WG181" s="6"/>
      <c r="WH181" s="6"/>
      <c r="WI181" s="6"/>
      <c r="WJ181" s="6"/>
      <c r="WK181" s="6"/>
      <c r="WL181" s="6"/>
      <c r="WM181" s="6"/>
      <c r="WN181" s="6"/>
      <c r="WO181" s="6"/>
      <c r="WP181" s="6"/>
      <c r="WQ181" s="6"/>
      <c r="WR181" s="6"/>
      <c r="WS181" s="6"/>
      <c r="WT181" s="6"/>
      <c r="WU181" s="6"/>
      <c r="WV181" s="6"/>
      <c r="WW181" s="6"/>
      <c r="WX181" s="6"/>
      <c r="WY181" s="6"/>
      <c r="WZ181" s="6"/>
      <c r="XA181" s="6"/>
      <c r="XB181" s="6"/>
      <c r="XC181" s="6"/>
      <c r="XD181" s="6"/>
      <c r="XE181" s="6"/>
      <c r="XF181" s="6"/>
      <c r="XG181" s="6"/>
      <c r="XH181" s="6"/>
      <c r="XI181" s="6"/>
      <c r="XJ181" s="6"/>
      <c r="XK181" s="6"/>
      <c r="XL181" s="6"/>
      <c r="XM181" s="6"/>
      <c r="XN181" s="6"/>
      <c r="XO181" s="6"/>
      <c r="XP181" s="6"/>
      <c r="XQ181" s="6"/>
      <c r="XR181" s="6"/>
      <c r="XS181" s="6"/>
      <c r="XT181" s="6"/>
      <c r="XU181" s="6"/>
      <c r="XV181" s="6"/>
      <c r="XW181" s="6"/>
      <c r="XX181" s="6"/>
      <c r="XY181" s="6"/>
      <c r="XZ181" s="6"/>
      <c r="YA181" s="6"/>
      <c r="YB181" s="6"/>
      <c r="YC181" s="6"/>
      <c r="YD181" s="6"/>
      <c r="YE181" s="6"/>
      <c r="YF181" s="6"/>
      <c r="YG181" s="6"/>
      <c r="YH181" s="6"/>
      <c r="YI181" s="6"/>
      <c r="YJ181" s="6"/>
      <c r="YK181" s="6"/>
      <c r="YL181" s="6"/>
      <c r="YM181" s="6"/>
      <c r="YN181" s="6"/>
      <c r="YO181" s="6"/>
      <c r="YP181" s="6"/>
      <c r="YQ181" s="6"/>
      <c r="YR181" s="6"/>
      <c r="YS181" s="6"/>
      <c r="YT181" s="6"/>
      <c r="YU181" s="6"/>
      <c r="YV181" s="6"/>
      <c r="YW181" s="6"/>
      <c r="YX181" s="6"/>
      <c r="YY181" s="6"/>
      <c r="YZ181" s="6"/>
      <c r="ZA181" s="6"/>
      <c r="ZB181" s="6"/>
      <c r="ZC181" s="6"/>
      <c r="ZD181" s="6"/>
      <c r="ZE181" s="6"/>
      <c r="ZF181" s="6"/>
      <c r="ZG181" s="6"/>
      <c r="ZH181" s="6"/>
      <c r="ZI181" s="6"/>
      <c r="ZJ181" s="6"/>
      <c r="ZK181" s="6"/>
      <c r="ZL181" s="6"/>
      <c r="ZM181" s="6"/>
      <c r="ZN181" s="6"/>
      <c r="ZO181" s="6"/>
      <c r="ZP181" s="6"/>
      <c r="ZQ181" s="6"/>
      <c r="ZR181" s="6"/>
      <c r="ZS181" s="6"/>
      <c r="ZT181" s="6"/>
      <c r="ZU181" s="6"/>
      <c r="ZV181" s="6"/>
      <c r="ZW181" s="6"/>
      <c r="ZX181" s="6"/>
      <c r="ZY181" s="6"/>
      <c r="ZZ181" s="6"/>
      <c r="AAA181" s="6"/>
      <c r="AAB181" s="6"/>
      <c r="AAC181" s="6"/>
      <c r="AAD181" s="6"/>
      <c r="AAE181" s="6"/>
      <c r="AAF181" s="6"/>
      <c r="AAG181" s="6"/>
      <c r="AAH181" s="6"/>
      <c r="AAI181" s="6"/>
      <c r="AAJ181" s="6"/>
      <c r="AAK181" s="6"/>
      <c r="AAL181" s="6"/>
      <c r="AAM181" s="6"/>
      <c r="AAN181" s="6"/>
      <c r="AAO181" s="6"/>
      <c r="AAP181" s="6"/>
      <c r="AAQ181" s="6"/>
      <c r="AAR181" s="6"/>
      <c r="AAS181" s="6"/>
      <c r="AAT181" s="6"/>
      <c r="AAU181" s="6"/>
      <c r="AAV181" s="6"/>
      <c r="AAW181" s="6"/>
      <c r="AAX181" s="6"/>
      <c r="AAY181" s="6"/>
      <c r="AAZ181" s="6"/>
      <c r="ABA181" s="6"/>
      <c r="ABB181" s="6"/>
      <c r="ABC181" s="6"/>
      <c r="ABD181" s="6"/>
      <c r="ABE181" s="6"/>
      <c r="ABF181" s="6"/>
      <c r="ABG181" s="6"/>
      <c r="ABH181" s="6"/>
      <c r="ABI181" s="6"/>
      <c r="ABJ181" s="6"/>
      <c r="ABK181" s="6"/>
      <c r="ABL181" s="6"/>
      <c r="ABM181" s="6"/>
      <c r="ABN181" s="6"/>
      <c r="ABO181" s="6"/>
      <c r="ABP181" s="6"/>
      <c r="ABQ181" s="6"/>
      <c r="ABR181" s="6"/>
      <c r="ABS181" s="6"/>
      <c r="ABT181" s="6"/>
      <c r="ABU181" s="6"/>
      <c r="ABV181" s="6"/>
      <c r="ABW181" s="6"/>
      <c r="ABX181" s="6"/>
      <c r="ABY181" s="6"/>
      <c r="ABZ181" s="6"/>
      <c r="ACA181" s="6"/>
      <c r="ACB181" s="6"/>
      <c r="ACC181" s="6"/>
      <c r="ACD181" s="6"/>
      <c r="ACE181" s="6"/>
      <c r="ACF181" s="6"/>
      <c r="ACG181" s="6"/>
      <c r="ACH181" s="6"/>
      <c r="ACI181" s="6"/>
      <c r="ACJ181" s="6"/>
      <c r="ACK181" s="6"/>
      <c r="ACL181" s="6"/>
      <c r="ACM181" s="6"/>
      <c r="ACN181" s="6"/>
      <c r="ACO181" s="6"/>
      <c r="ACP181" s="6"/>
      <c r="ACQ181" s="6"/>
      <c r="ACR181" s="6"/>
      <c r="ACS181" s="6"/>
      <c r="ACT181" s="6"/>
      <c r="ACU181" s="6"/>
      <c r="ACV181" s="6"/>
      <c r="ACW181" s="6"/>
      <c r="ACX181" s="6"/>
      <c r="ACY181" s="6"/>
      <c r="ACZ181" s="6"/>
      <c r="ADA181" s="6"/>
      <c r="ADB181" s="6"/>
      <c r="ADC181" s="6"/>
      <c r="ADD181" s="6"/>
      <c r="ADE181" s="6"/>
      <c r="ADF181" s="6"/>
      <c r="ADG181" s="6"/>
      <c r="ADH181" s="6"/>
      <c r="ADI181" s="6"/>
      <c r="ADJ181" s="6"/>
    </row>
    <row r="182" spans="1:790" s="291" customFormat="1" ht="27.6" x14ac:dyDescent="0.3">
      <c r="A182" s="399"/>
      <c r="B182" s="430" t="s">
        <v>120</v>
      </c>
      <c r="C182" s="366"/>
      <c r="D182" s="367"/>
      <c r="E182" s="367"/>
      <c r="F182" s="362"/>
      <c r="G182" s="362"/>
      <c r="H182" s="362"/>
      <c r="I182" s="369"/>
      <c r="J182" s="362"/>
      <c r="K182" s="363"/>
      <c r="L182" s="370"/>
      <c r="M182" s="490"/>
      <c r="N182" s="489" t="str">
        <f t="shared" si="138"/>
        <v/>
      </c>
      <c r="O182" s="308"/>
      <c r="Q182" s="497"/>
      <c r="R182" s="481"/>
      <c r="S182" s="514"/>
      <c r="T182" s="515" t="str">
        <f t="shared" si="143"/>
        <v/>
      </c>
      <c r="U182" s="482" t="str">
        <f t="shared" si="144"/>
        <v/>
      </c>
      <c r="V182" s="514"/>
      <c r="W182" s="515" t="str">
        <f t="shared" si="145"/>
        <v/>
      </c>
      <c r="X182" s="507"/>
      <c r="Y182" s="507"/>
      <c r="Z182" s="478"/>
      <c r="AA182" s="471"/>
      <c r="AB182" s="471"/>
      <c r="AC182" s="471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6"/>
      <c r="KZ182" s="6"/>
      <c r="LA182" s="6"/>
      <c r="LB182" s="6"/>
      <c r="LC182" s="6"/>
      <c r="LD182" s="6"/>
      <c r="LE182" s="6"/>
      <c r="LF182" s="6"/>
      <c r="LG182" s="6"/>
      <c r="LH182" s="6"/>
      <c r="LI182" s="6"/>
      <c r="LJ182" s="6"/>
      <c r="LK182" s="6"/>
      <c r="LL182" s="6"/>
      <c r="LM182" s="6"/>
      <c r="LN182" s="6"/>
      <c r="LO182" s="6"/>
      <c r="LP182" s="6"/>
      <c r="LQ182" s="6"/>
      <c r="LR182" s="6"/>
      <c r="LS182" s="6"/>
      <c r="LT182" s="6"/>
      <c r="LU182" s="6"/>
      <c r="LV182" s="6"/>
      <c r="LW182" s="6"/>
      <c r="LX182" s="6"/>
      <c r="LY182" s="6"/>
      <c r="LZ182" s="6"/>
      <c r="MA182" s="6"/>
      <c r="MB182" s="6"/>
      <c r="MC182" s="6"/>
      <c r="MD182" s="6"/>
      <c r="ME182" s="6"/>
      <c r="MF182" s="6"/>
      <c r="MG182" s="6"/>
      <c r="MH182" s="6"/>
      <c r="MI182" s="6"/>
      <c r="MJ182" s="6"/>
      <c r="MK182" s="6"/>
      <c r="ML182" s="6"/>
      <c r="MM182" s="6"/>
      <c r="MN182" s="6"/>
      <c r="MO182" s="6"/>
      <c r="MP182" s="6"/>
      <c r="MQ182" s="6"/>
      <c r="MR182" s="6"/>
      <c r="MS182" s="6"/>
      <c r="MT182" s="6"/>
      <c r="MU182" s="6"/>
      <c r="MV182" s="6"/>
      <c r="MW182" s="6"/>
      <c r="MX182" s="6"/>
      <c r="MY182" s="6"/>
      <c r="MZ182" s="6"/>
      <c r="NA182" s="6"/>
      <c r="NB182" s="6"/>
      <c r="NC182" s="6"/>
      <c r="ND182" s="6"/>
      <c r="NE182" s="6"/>
      <c r="NF182" s="6"/>
      <c r="NG182" s="6"/>
      <c r="NH182" s="6"/>
      <c r="NI182" s="6"/>
      <c r="NJ182" s="6"/>
      <c r="NK182" s="6"/>
      <c r="NL182" s="6"/>
      <c r="NM182" s="6"/>
      <c r="NN182" s="6"/>
      <c r="NO182" s="6"/>
      <c r="NP182" s="6"/>
      <c r="NQ182" s="6"/>
      <c r="NR182" s="6"/>
      <c r="NS182" s="6"/>
      <c r="NT182" s="6"/>
      <c r="NU182" s="6"/>
      <c r="NV182" s="6"/>
      <c r="NW182" s="6"/>
      <c r="NX182" s="6"/>
      <c r="NY182" s="6"/>
      <c r="NZ182" s="6"/>
      <c r="OA182" s="6"/>
      <c r="OB182" s="6"/>
      <c r="OC182" s="6"/>
      <c r="OD182" s="6"/>
      <c r="OE182" s="6"/>
      <c r="OF182" s="6"/>
      <c r="OG182" s="6"/>
      <c r="OH182" s="6"/>
      <c r="OI182" s="6"/>
      <c r="OJ182" s="6"/>
      <c r="OK182" s="6"/>
      <c r="OL182" s="6"/>
      <c r="OM182" s="6"/>
      <c r="ON182" s="6"/>
      <c r="OO182" s="6"/>
      <c r="OP182" s="6"/>
      <c r="OQ182" s="6"/>
      <c r="OR182" s="6"/>
      <c r="OS182" s="6"/>
      <c r="OT182" s="6"/>
      <c r="OU182" s="6"/>
      <c r="OV182" s="6"/>
      <c r="OW182" s="6"/>
      <c r="OX182" s="6"/>
      <c r="OY182" s="6"/>
      <c r="OZ182" s="6"/>
      <c r="PA182" s="6"/>
      <c r="PB182" s="6"/>
      <c r="PC182" s="6"/>
      <c r="PD182" s="6"/>
      <c r="PE182" s="6"/>
      <c r="PF182" s="6"/>
      <c r="PG182" s="6"/>
      <c r="PH182" s="6"/>
      <c r="PI182" s="6"/>
      <c r="PJ182" s="6"/>
      <c r="PK182" s="6"/>
      <c r="PL182" s="6"/>
      <c r="PM182" s="6"/>
      <c r="PN182" s="6"/>
      <c r="PO182" s="6"/>
      <c r="PP182" s="6"/>
      <c r="PQ182" s="6"/>
      <c r="PR182" s="6"/>
      <c r="PS182" s="6"/>
      <c r="PT182" s="6"/>
      <c r="PU182" s="6"/>
      <c r="PV182" s="6"/>
      <c r="PW182" s="6"/>
      <c r="PX182" s="6"/>
      <c r="PY182" s="6"/>
      <c r="PZ182" s="6"/>
      <c r="QA182" s="6"/>
      <c r="QB182" s="6"/>
      <c r="QC182" s="6"/>
      <c r="QD182" s="6"/>
      <c r="QE182" s="6"/>
      <c r="QF182" s="6"/>
      <c r="QG182" s="6"/>
      <c r="QH182" s="6"/>
      <c r="QI182" s="6"/>
      <c r="QJ182" s="6"/>
      <c r="QK182" s="6"/>
      <c r="QL182" s="6"/>
      <c r="QM182" s="6"/>
      <c r="QN182" s="6"/>
      <c r="QO182" s="6"/>
      <c r="QP182" s="6"/>
      <c r="QQ182" s="6"/>
      <c r="QR182" s="6"/>
      <c r="QS182" s="6"/>
      <c r="QT182" s="6"/>
      <c r="QU182" s="6"/>
      <c r="QV182" s="6"/>
      <c r="QW182" s="6"/>
      <c r="QX182" s="6"/>
      <c r="QY182" s="6"/>
      <c r="QZ182" s="6"/>
      <c r="RA182" s="6"/>
      <c r="RB182" s="6"/>
      <c r="RC182" s="6"/>
      <c r="RD182" s="6"/>
      <c r="RE182" s="6"/>
      <c r="RF182" s="6"/>
      <c r="RG182" s="6"/>
      <c r="RH182" s="6"/>
      <c r="RI182" s="6"/>
      <c r="RJ182" s="6"/>
      <c r="RK182" s="6"/>
      <c r="RL182" s="6"/>
      <c r="RM182" s="6"/>
      <c r="RN182" s="6"/>
      <c r="RO182" s="6"/>
      <c r="RP182" s="6"/>
      <c r="RQ182" s="6"/>
      <c r="RR182" s="6"/>
      <c r="RS182" s="6"/>
      <c r="RT182" s="6"/>
      <c r="RU182" s="6"/>
      <c r="RV182" s="6"/>
      <c r="RW182" s="6"/>
      <c r="RX182" s="6"/>
      <c r="RY182" s="6"/>
      <c r="RZ182" s="6"/>
      <c r="SA182" s="6"/>
      <c r="SB182" s="6"/>
      <c r="SC182" s="6"/>
      <c r="SD182" s="6"/>
      <c r="SE182" s="6"/>
      <c r="SF182" s="6"/>
      <c r="SG182" s="6"/>
      <c r="SH182" s="6"/>
      <c r="SI182" s="6"/>
      <c r="SJ182" s="6"/>
      <c r="SK182" s="6"/>
      <c r="SL182" s="6"/>
      <c r="SM182" s="6"/>
      <c r="SN182" s="6"/>
      <c r="SO182" s="6"/>
      <c r="SP182" s="6"/>
      <c r="SQ182" s="6"/>
      <c r="SR182" s="6"/>
      <c r="SS182" s="6"/>
      <c r="ST182" s="6"/>
      <c r="SU182" s="6"/>
      <c r="SV182" s="6"/>
      <c r="SW182" s="6"/>
      <c r="SX182" s="6"/>
      <c r="SY182" s="6"/>
      <c r="SZ182" s="6"/>
      <c r="TA182" s="6"/>
      <c r="TB182" s="6"/>
      <c r="TC182" s="6"/>
      <c r="TD182" s="6"/>
      <c r="TE182" s="6"/>
      <c r="TF182" s="6"/>
      <c r="TG182" s="6"/>
      <c r="TH182" s="6"/>
      <c r="TI182" s="6"/>
      <c r="TJ182" s="6"/>
      <c r="TK182" s="6"/>
      <c r="TL182" s="6"/>
      <c r="TM182" s="6"/>
      <c r="TN182" s="6"/>
      <c r="TO182" s="6"/>
      <c r="TP182" s="6"/>
      <c r="TQ182" s="6"/>
      <c r="TR182" s="6"/>
      <c r="TS182" s="6"/>
      <c r="TT182" s="6"/>
      <c r="TU182" s="6"/>
      <c r="TV182" s="6"/>
      <c r="TW182" s="6"/>
      <c r="TX182" s="6"/>
      <c r="TY182" s="6"/>
      <c r="TZ182" s="6"/>
      <c r="UA182" s="6"/>
      <c r="UB182" s="6"/>
      <c r="UC182" s="6"/>
      <c r="UD182" s="6"/>
      <c r="UE182" s="6"/>
      <c r="UF182" s="6"/>
      <c r="UG182" s="6"/>
      <c r="UH182" s="6"/>
      <c r="UI182" s="6"/>
      <c r="UJ182" s="6"/>
      <c r="UK182" s="6"/>
      <c r="UL182" s="6"/>
      <c r="UM182" s="6"/>
      <c r="UN182" s="6"/>
      <c r="UO182" s="6"/>
      <c r="UP182" s="6"/>
      <c r="UQ182" s="6"/>
      <c r="UR182" s="6"/>
      <c r="US182" s="6"/>
      <c r="UT182" s="6"/>
      <c r="UU182" s="6"/>
      <c r="UV182" s="6"/>
      <c r="UW182" s="6"/>
      <c r="UX182" s="6"/>
      <c r="UY182" s="6"/>
      <c r="UZ182" s="6"/>
      <c r="VA182" s="6"/>
      <c r="VB182" s="6"/>
      <c r="VC182" s="6"/>
      <c r="VD182" s="6"/>
      <c r="VE182" s="6"/>
      <c r="VF182" s="6"/>
      <c r="VG182" s="6"/>
      <c r="VH182" s="6"/>
      <c r="VI182" s="6"/>
      <c r="VJ182" s="6"/>
      <c r="VK182" s="6"/>
      <c r="VL182" s="6"/>
      <c r="VM182" s="6"/>
      <c r="VN182" s="6"/>
      <c r="VO182" s="6"/>
      <c r="VP182" s="6"/>
      <c r="VQ182" s="6"/>
      <c r="VR182" s="6"/>
      <c r="VS182" s="6"/>
      <c r="VT182" s="6"/>
      <c r="VU182" s="6"/>
      <c r="VV182" s="6"/>
      <c r="VW182" s="6"/>
      <c r="VX182" s="6"/>
      <c r="VY182" s="6"/>
      <c r="VZ182" s="6"/>
      <c r="WA182" s="6"/>
      <c r="WB182" s="6"/>
      <c r="WC182" s="6"/>
      <c r="WD182" s="6"/>
      <c r="WE182" s="6"/>
      <c r="WF182" s="6"/>
      <c r="WG182" s="6"/>
      <c r="WH182" s="6"/>
      <c r="WI182" s="6"/>
      <c r="WJ182" s="6"/>
      <c r="WK182" s="6"/>
      <c r="WL182" s="6"/>
      <c r="WM182" s="6"/>
      <c r="WN182" s="6"/>
      <c r="WO182" s="6"/>
      <c r="WP182" s="6"/>
      <c r="WQ182" s="6"/>
      <c r="WR182" s="6"/>
      <c r="WS182" s="6"/>
      <c r="WT182" s="6"/>
      <c r="WU182" s="6"/>
      <c r="WV182" s="6"/>
      <c r="WW182" s="6"/>
      <c r="WX182" s="6"/>
      <c r="WY182" s="6"/>
      <c r="WZ182" s="6"/>
      <c r="XA182" s="6"/>
      <c r="XB182" s="6"/>
      <c r="XC182" s="6"/>
      <c r="XD182" s="6"/>
      <c r="XE182" s="6"/>
      <c r="XF182" s="6"/>
      <c r="XG182" s="6"/>
      <c r="XH182" s="6"/>
      <c r="XI182" s="6"/>
      <c r="XJ182" s="6"/>
      <c r="XK182" s="6"/>
      <c r="XL182" s="6"/>
      <c r="XM182" s="6"/>
      <c r="XN182" s="6"/>
      <c r="XO182" s="6"/>
      <c r="XP182" s="6"/>
      <c r="XQ182" s="6"/>
      <c r="XR182" s="6"/>
      <c r="XS182" s="6"/>
      <c r="XT182" s="6"/>
      <c r="XU182" s="6"/>
      <c r="XV182" s="6"/>
      <c r="XW182" s="6"/>
      <c r="XX182" s="6"/>
      <c r="XY182" s="6"/>
      <c r="XZ182" s="6"/>
      <c r="YA182" s="6"/>
      <c r="YB182" s="6"/>
      <c r="YC182" s="6"/>
      <c r="YD182" s="6"/>
      <c r="YE182" s="6"/>
      <c r="YF182" s="6"/>
      <c r="YG182" s="6"/>
      <c r="YH182" s="6"/>
      <c r="YI182" s="6"/>
      <c r="YJ182" s="6"/>
      <c r="YK182" s="6"/>
      <c r="YL182" s="6"/>
      <c r="YM182" s="6"/>
      <c r="YN182" s="6"/>
      <c r="YO182" s="6"/>
      <c r="YP182" s="6"/>
      <c r="YQ182" s="6"/>
      <c r="YR182" s="6"/>
      <c r="YS182" s="6"/>
      <c r="YT182" s="6"/>
      <c r="YU182" s="6"/>
      <c r="YV182" s="6"/>
      <c r="YW182" s="6"/>
      <c r="YX182" s="6"/>
      <c r="YY182" s="6"/>
      <c r="YZ182" s="6"/>
      <c r="ZA182" s="6"/>
      <c r="ZB182" s="6"/>
      <c r="ZC182" s="6"/>
      <c r="ZD182" s="6"/>
      <c r="ZE182" s="6"/>
      <c r="ZF182" s="6"/>
      <c r="ZG182" s="6"/>
      <c r="ZH182" s="6"/>
      <c r="ZI182" s="6"/>
      <c r="ZJ182" s="6"/>
      <c r="ZK182" s="6"/>
      <c r="ZL182" s="6"/>
      <c r="ZM182" s="6"/>
      <c r="ZN182" s="6"/>
      <c r="ZO182" s="6"/>
      <c r="ZP182" s="6"/>
      <c r="ZQ182" s="6"/>
      <c r="ZR182" s="6"/>
      <c r="ZS182" s="6"/>
      <c r="ZT182" s="6"/>
      <c r="ZU182" s="6"/>
      <c r="ZV182" s="6"/>
      <c r="ZW182" s="6"/>
      <c r="ZX182" s="6"/>
      <c r="ZY182" s="6"/>
      <c r="ZZ182" s="6"/>
      <c r="AAA182" s="6"/>
      <c r="AAB182" s="6"/>
      <c r="AAC182" s="6"/>
      <c r="AAD182" s="6"/>
      <c r="AAE182" s="6"/>
      <c r="AAF182" s="6"/>
      <c r="AAG182" s="6"/>
      <c r="AAH182" s="6"/>
      <c r="AAI182" s="6"/>
      <c r="AAJ182" s="6"/>
      <c r="AAK182" s="6"/>
      <c r="AAL182" s="6"/>
      <c r="AAM182" s="6"/>
      <c r="AAN182" s="6"/>
      <c r="AAO182" s="6"/>
      <c r="AAP182" s="6"/>
      <c r="AAQ182" s="6"/>
      <c r="AAR182" s="6"/>
      <c r="AAS182" s="6"/>
      <c r="AAT182" s="6"/>
      <c r="AAU182" s="6"/>
      <c r="AAV182" s="6"/>
      <c r="AAW182" s="6"/>
      <c r="AAX182" s="6"/>
      <c r="AAY182" s="6"/>
      <c r="AAZ182" s="6"/>
      <c r="ABA182" s="6"/>
      <c r="ABB182" s="6"/>
      <c r="ABC182" s="6"/>
      <c r="ABD182" s="6"/>
      <c r="ABE182" s="6"/>
      <c r="ABF182" s="6"/>
      <c r="ABG182" s="6"/>
      <c r="ABH182" s="6"/>
      <c r="ABI182" s="6"/>
      <c r="ABJ182" s="6"/>
      <c r="ABK182" s="6"/>
      <c r="ABL182" s="6"/>
      <c r="ABM182" s="6"/>
      <c r="ABN182" s="6"/>
      <c r="ABO182" s="6"/>
      <c r="ABP182" s="6"/>
      <c r="ABQ182" s="6"/>
      <c r="ABR182" s="6"/>
      <c r="ABS182" s="6"/>
      <c r="ABT182" s="6"/>
      <c r="ABU182" s="6"/>
      <c r="ABV182" s="6"/>
      <c r="ABW182" s="6"/>
      <c r="ABX182" s="6"/>
      <c r="ABY182" s="6"/>
      <c r="ABZ182" s="6"/>
      <c r="ACA182" s="6"/>
      <c r="ACB182" s="6"/>
      <c r="ACC182" s="6"/>
      <c r="ACD182" s="6"/>
      <c r="ACE182" s="6"/>
      <c r="ACF182" s="6"/>
      <c r="ACG182" s="6"/>
      <c r="ACH182" s="6"/>
      <c r="ACI182" s="6"/>
      <c r="ACJ182" s="6"/>
      <c r="ACK182" s="6"/>
      <c r="ACL182" s="6"/>
      <c r="ACM182" s="6"/>
      <c r="ACN182" s="6"/>
      <c r="ACO182" s="6"/>
      <c r="ACP182" s="6"/>
      <c r="ACQ182" s="6"/>
      <c r="ACR182" s="6"/>
      <c r="ACS182" s="6"/>
      <c r="ACT182" s="6"/>
      <c r="ACU182" s="6"/>
      <c r="ACV182" s="6"/>
      <c r="ACW182" s="6"/>
      <c r="ACX182" s="6"/>
      <c r="ACY182" s="6"/>
      <c r="ACZ182" s="6"/>
      <c r="ADA182" s="6"/>
      <c r="ADB182" s="6"/>
      <c r="ADC182" s="6"/>
      <c r="ADD182" s="6"/>
      <c r="ADE182" s="6"/>
      <c r="ADF182" s="6"/>
      <c r="ADG182" s="6"/>
      <c r="ADH182" s="6"/>
      <c r="ADI182" s="6"/>
      <c r="ADJ182" s="6"/>
    </row>
    <row r="183" spans="1:790" s="291" customFormat="1" x14ac:dyDescent="0.3">
      <c r="A183" s="399"/>
      <c r="B183" s="571" t="s">
        <v>118</v>
      </c>
      <c r="C183" s="366"/>
      <c r="D183" s="367">
        <f>1.3+1</f>
        <v>2.2999999999999998</v>
      </c>
      <c r="E183" s="367">
        <f>1.25+1</f>
        <v>2.25</v>
      </c>
      <c r="F183" s="362"/>
      <c r="G183" s="362">
        <v>0.2</v>
      </c>
      <c r="H183" s="362">
        <f>+PRODUCT(C183:G183)</f>
        <v>1.0349999999999999</v>
      </c>
      <c r="I183" s="369" t="s">
        <v>22</v>
      </c>
      <c r="J183" s="362">
        <f>+PRODUCT(C183:G183)</f>
        <v>1.0349999999999999</v>
      </c>
      <c r="K183" s="363">
        <v>180</v>
      </c>
      <c r="L183" s="370">
        <f t="shared" ref="L183:L185" si="182">J183*K183</f>
        <v>186.29999999999998</v>
      </c>
      <c r="M183" s="490">
        <f t="shared" ref="M183:M185" si="183">K183*(100%-16.5%)</f>
        <v>150.29999999999998</v>
      </c>
      <c r="N183" s="489">
        <f t="shared" si="138"/>
        <v>155.56049999999996</v>
      </c>
      <c r="O183" s="308"/>
      <c r="Q183" s="497"/>
      <c r="R183" s="481">
        <f t="shared" si="148"/>
        <v>1.0349999999999999</v>
      </c>
      <c r="S183" s="514">
        <f>S180</f>
        <v>15</v>
      </c>
      <c r="T183" s="515">
        <f t="shared" si="143"/>
        <v>15.524999999999999</v>
      </c>
      <c r="U183" s="482">
        <f t="shared" si="144"/>
        <v>1.0349999999999999</v>
      </c>
      <c r="V183" s="526">
        <f>V154</f>
        <v>120</v>
      </c>
      <c r="W183" s="515">
        <f t="shared" si="145"/>
        <v>124.19999999999999</v>
      </c>
      <c r="X183" s="507">
        <f t="shared" ref="X183:X185" si="184">V183+S183</f>
        <v>135</v>
      </c>
      <c r="Y183" s="520">
        <f t="shared" ref="Y183:Y185" si="185">M183-X183</f>
        <v>15.299999999999983</v>
      </c>
      <c r="Z183" s="521">
        <f t="shared" ref="Z183:Z185" si="186">Y183/M183</f>
        <v>0.10179640718562864</v>
      </c>
      <c r="AA183" s="471"/>
      <c r="AB183" s="471"/>
      <c r="AC183" s="471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/>
      <c r="IQ183" s="6"/>
      <c r="IR183" s="6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6"/>
      <c r="KZ183" s="6"/>
      <c r="LA183" s="6"/>
      <c r="LB183" s="6"/>
      <c r="LC183" s="6"/>
      <c r="LD183" s="6"/>
      <c r="LE183" s="6"/>
      <c r="LF183" s="6"/>
      <c r="LG183" s="6"/>
      <c r="LH183" s="6"/>
      <c r="LI183" s="6"/>
      <c r="LJ183" s="6"/>
      <c r="LK183" s="6"/>
      <c r="LL183" s="6"/>
      <c r="LM183" s="6"/>
      <c r="LN183" s="6"/>
      <c r="LO183" s="6"/>
      <c r="LP183" s="6"/>
      <c r="LQ183" s="6"/>
      <c r="LR183" s="6"/>
      <c r="LS183" s="6"/>
      <c r="LT183" s="6"/>
      <c r="LU183" s="6"/>
      <c r="LV183" s="6"/>
      <c r="LW183" s="6"/>
      <c r="LX183" s="6"/>
      <c r="LY183" s="6"/>
      <c r="LZ183" s="6"/>
      <c r="MA183" s="6"/>
      <c r="MB183" s="6"/>
      <c r="MC183" s="6"/>
      <c r="MD183" s="6"/>
      <c r="ME183" s="6"/>
      <c r="MF183" s="6"/>
      <c r="MG183" s="6"/>
      <c r="MH183" s="6"/>
      <c r="MI183" s="6"/>
      <c r="MJ183" s="6"/>
      <c r="MK183" s="6"/>
      <c r="ML183" s="6"/>
      <c r="MM183" s="6"/>
      <c r="MN183" s="6"/>
      <c r="MO183" s="6"/>
      <c r="MP183" s="6"/>
      <c r="MQ183" s="6"/>
      <c r="MR183" s="6"/>
      <c r="MS183" s="6"/>
      <c r="MT183" s="6"/>
      <c r="MU183" s="6"/>
      <c r="MV183" s="6"/>
      <c r="MW183" s="6"/>
      <c r="MX183" s="6"/>
      <c r="MY183" s="6"/>
      <c r="MZ183" s="6"/>
      <c r="NA183" s="6"/>
      <c r="NB183" s="6"/>
      <c r="NC183" s="6"/>
      <c r="ND183" s="6"/>
      <c r="NE183" s="6"/>
      <c r="NF183" s="6"/>
      <c r="NG183" s="6"/>
      <c r="NH183" s="6"/>
      <c r="NI183" s="6"/>
      <c r="NJ183" s="6"/>
      <c r="NK183" s="6"/>
      <c r="NL183" s="6"/>
      <c r="NM183" s="6"/>
      <c r="NN183" s="6"/>
      <c r="NO183" s="6"/>
      <c r="NP183" s="6"/>
      <c r="NQ183" s="6"/>
      <c r="NR183" s="6"/>
      <c r="NS183" s="6"/>
      <c r="NT183" s="6"/>
      <c r="NU183" s="6"/>
      <c r="NV183" s="6"/>
      <c r="NW183" s="6"/>
      <c r="NX183" s="6"/>
      <c r="NY183" s="6"/>
      <c r="NZ183" s="6"/>
      <c r="OA183" s="6"/>
      <c r="OB183" s="6"/>
      <c r="OC183" s="6"/>
      <c r="OD183" s="6"/>
      <c r="OE183" s="6"/>
      <c r="OF183" s="6"/>
      <c r="OG183" s="6"/>
      <c r="OH183" s="6"/>
      <c r="OI183" s="6"/>
      <c r="OJ183" s="6"/>
      <c r="OK183" s="6"/>
      <c r="OL183" s="6"/>
      <c r="OM183" s="6"/>
      <c r="ON183" s="6"/>
      <c r="OO183" s="6"/>
      <c r="OP183" s="6"/>
      <c r="OQ183" s="6"/>
      <c r="OR183" s="6"/>
      <c r="OS183" s="6"/>
      <c r="OT183" s="6"/>
      <c r="OU183" s="6"/>
      <c r="OV183" s="6"/>
      <c r="OW183" s="6"/>
      <c r="OX183" s="6"/>
      <c r="OY183" s="6"/>
      <c r="OZ183" s="6"/>
      <c r="PA183" s="6"/>
      <c r="PB183" s="6"/>
      <c r="PC183" s="6"/>
      <c r="PD183" s="6"/>
      <c r="PE183" s="6"/>
      <c r="PF183" s="6"/>
      <c r="PG183" s="6"/>
      <c r="PH183" s="6"/>
      <c r="PI183" s="6"/>
      <c r="PJ183" s="6"/>
      <c r="PK183" s="6"/>
      <c r="PL183" s="6"/>
      <c r="PM183" s="6"/>
      <c r="PN183" s="6"/>
      <c r="PO183" s="6"/>
      <c r="PP183" s="6"/>
      <c r="PQ183" s="6"/>
      <c r="PR183" s="6"/>
      <c r="PS183" s="6"/>
      <c r="PT183" s="6"/>
      <c r="PU183" s="6"/>
      <c r="PV183" s="6"/>
      <c r="PW183" s="6"/>
      <c r="PX183" s="6"/>
      <c r="PY183" s="6"/>
      <c r="PZ183" s="6"/>
      <c r="QA183" s="6"/>
      <c r="QB183" s="6"/>
      <c r="QC183" s="6"/>
      <c r="QD183" s="6"/>
      <c r="QE183" s="6"/>
      <c r="QF183" s="6"/>
      <c r="QG183" s="6"/>
      <c r="QH183" s="6"/>
      <c r="QI183" s="6"/>
      <c r="QJ183" s="6"/>
      <c r="QK183" s="6"/>
      <c r="QL183" s="6"/>
      <c r="QM183" s="6"/>
      <c r="QN183" s="6"/>
      <c r="QO183" s="6"/>
      <c r="QP183" s="6"/>
      <c r="QQ183" s="6"/>
      <c r="QR183" s="6"/>
      <c r="QS183" s="6"/>
      <c r="QT183" s="6"/>
      <c r="QU183" s="6"/>
      <c r="QV183" s="6"/>
      <c r="QW183" s="6"/>
      <c r="QX183" s="6"/>
      <c r="QY183" s="6"/>
      <c r="QZ183" s="6"/>
      <c r="RA183" s="6"/>
      <c r="RB183" s="6"/>
      <c r="RC183" s="6"/>
      <c r="RD183" s="6"/>
      <c r="RE183" s="6"/>
      <c r="RF183" s="6"/>
      <c r="RG183" s="6"/>
      <c r="RH183" s="6"/>
      <c r="RI183" s="6"/>
      <c r="RJ183" s="6"/>
      <c r="RK183" s="6"/>
      <c r="RL183" s="6"/>
      <c r="RM183" s="6"/>
      <c r="RN183" s="6"/>
      <c r="RO183" s="6"/>
      <c r="RP183" s="6"/>
      <c r="RQ183" s="6"/>
      <c r="RR183" s="6"/>
      <c r="RS183" s="6"/>
      <c r="RT183" s="6"/>
      <c r="RU183" s="6"/>
      <c r="RV183" s="6"/>
      <c r="RW183" s="6"/>
      <c r="RX183" s="6"/>
      <c r="RY183" s="6"/>
      <c r="RZ183" s="6"/>
      <c r="SA183" s="6"/>
      <c r="SB183" s="6"/>
      <c r="SC183" s="6"/>
      <c r="SD183" s="6"/>
      <c r="SE183" s="6"/>
      <c r="SF183" s="6"/>
      <c r="SG183" s="6"/>
      <c r="SH183" s="6"/>
      <c r="SI183" s="6"/>
      <c r="SJ183" s="6"/>
      <c r="SK183" s="6"/>
      <c r="SL183" s="6"/>
      <c r="SM183" s="6"/>
      <c r="SN183" s="6"/>
      <c r="SO183" s="6"/>
      <c r="SP183" s="6"/>
      <c r="SQ183" s="6"/>
      <c r="SR183" s="6"/>
      <c r="SS183" s="6"/>
      <c r="ST183" s="6"/>
      <c r="SU183" s="6"/>
      <c r="SV183" s="6"/>
      <c r="SW183" s="6"/>
      <c r="SX183" s="6"/>
      <c r="SY183" s="6"/>
      <c r="SZ183" s="6"/>
      <c r="TA183" s="6"/>
      <c r="TB183" s="6"/>
      <c r="TC183" s="6"/>
      <c r="TD183" s="6"/>
      <c r="TE183" s="6"/>
      <c r="TF183" s="6"/>
      <c r="TG183" s="6"/>
      <c r="TH183" s="6"/>
      <c r="TI183" s="6"/>
      <c r="TJ183" s="6"/>
      <c r="TK183" s="6"/>
      <c r="TL183" s="6"/>
      <c r="TM183" s="6"/>
      <c r="TN183" s="6"/>
      <c r="TO183" s="6"/>
      <c r="TP183" s="6"/>
      <c r="TQ183" s="6"/>
      <c r="TR183" s="6"/>
      <c r="TS183" s="6"/>
      <c r="TT183" s="6"/>
      <c r="TU183" s="6"/>
      <c r="TV183" s="6"/>
      <c r="TW183" s="6"/>
      <c r="TX183" s="6"/>
      <c r="TY183" s="6"/>
      <c r="TZ183" s="6"/>
      <c r="UA183" s="6"/>
      <c r="UB183" s="6"/>
      <c r="UC183" s="6"/>
      <c r="UD183" s="6"/>
      <c r="UE183" s="6"/>
      <c r="UF183" s="6"/>
      <c r="UG183" s="6"/>
      <c r="UH183" s="6"/>
      <c r="UI183" s="6"/>
      <c r="UJ183" s="6"/>
      <c r="UK183" s="6"/>
      <c r="UL183" s="6"/>
      <c r="UM183" s="6"/>
      <c r="UN183" s="6"/>
      <c r="UO183" s="6"/>
      <c r="UP183" s="6"/>
      <c r="UQ183" s="6"/>
      <c r="UR183" s="6"/>
      <c r="US183" s="6"/>
      <c r="UT183" s="6"/>
      <c r="UU183" s="6"/>
      <c r="UV183" s="6"/>
      <c r="UW183" s="6"/>
      <c r="UX183" s="6"/>
      <c r="UY183" s="6"/>
      <c r="UZ183" s="6"/>
      <c r="VA183" s="6"/>
      <c r="VB183" s="6"/>
      <c r="VC183" s="6"/>
      <c r="VD183" s="6"/>
      <c r="VE183" s="6"/>
      <c r="VF183" s="6"/>
      <c r="VG183" s="6"/>
      <c r="VH183" s="6"/>
      <c r="VI183" s="6"/>
      <c r="VJ183" s="6"/>
      <c r="VK183" s="6"/>
      <c r="VL183" s="6"/>
      <c r="VM183" s="6"/>
      <c r="VN183" s="6"/>
      <c r="VO183" s="6"/>
      <c r="VP183" s="6"/>
      <c r="VQ183" s="6"/>
      <c r="VR183" s="6"/>
      <c r="VS183" s="6"/>
      <c r="VT183" s="6"/>
      <c r="VU183" s="6"/>
      <c r="VV183" s="6"/>
      <c r="VW183" s="6"/>
      <c r="VX183" s="6"/>
      <c r="VY183" s="6"/>
      <c r="VZ183" s="6"/>
      <c r="WA183" s="6"/>
      <c r="WB183" s="6"/>
      <c r="WC183" s="6"/>
      <c r="WD183" s="6"/>
      <c r="WE183" s="6"/>
      <c r="WF183" s="6"/>
      <c r="WG183" s="6"/>
      <c r="WH183" s="6"/>
      <c r="WI183" s="6"/>
      <c r="WJ183" s="6"/>
      <c r="WK183" s="6"/>
      <c r="WL183" s="6"/>
      <c r="WM183" s="6"/>
      <c r="WN183" s="6"/>
      <c r="WO183" s="6"/>
      <c r="WP183" s="6"/>
      <c r="WQ183" s="6"/>
      <c r="WR183" s="6"/>
      <c r="WS183" s="6"/>
      <c r="WT183" s="6"/>
      <c r="WU183" s="6"/>
      <c r="WV183" s="6"/>
      <c r="WW183" s="6"/>
      <c r="WX183" s="6"/>
      <c r="WY183" s="6"/>
      <c r="WZ183" s="6"/>
      <c r="XA183" s="6"/>
      <c r="XB183" s="6"/>
      <c r="XC183" s="6"/>
      <c r="XD183" s="6"/>
      <c r="XE183" s="6"/>
      <c r="XF183" s="6"/>
      <c r="XG183" s="6"/>
      <c r="XH183" s="6"/>
      <c r="XI183" s="6"/>
      <c r="XJ183" s="6"/>
      <c r="XK183" s="6"/>
      <c r="XL183" s="6"/>
      <c r="XM183" s="6"/>
      <c r="XN183" s="6"/>
      <c r="XO183" s="6"/>
      <c r="XP183" s="6"/>
      <c r="XQ183" s="6"/>
      <c r="XR183" s="6"/>
      <c r="XS183" s="6"/>
      <c r="XT183" s="6"/>
      <c r="XU183" s="6"/>
      <c r="XV183" s="6"/>
      <c r="XW183" s="6"/>
      <c r="XX183" s="6"/>
      <c r="XY183" s="6"/>
      <c r="XZ183" s="6"/>
      <c r="YA183" s="6"/>
      <c r="YB183" s="6"/>
      <c r="YC183" s="6"/>
      <c r="YD183" s="6"/>
      <c r="YE183" s="6"/>
      <c r="YF183" s="6"/>
      <c r="YG183" s="6"/>
      <c r="YH183" s="6"/>
      <c r="YI183" s="6"/>
      <c r="YJ183" s="6"/>
      <c r="YK183" s="6"/>
      <c r="YL183" s="6"/>
      <c r="YM183" s="6"/>
      <c r="YN183" s="6"/>
      <c r="YO183" s="6"/>
      <c r="YP183" s="6"/>
      <c r="YQ183" s="6"/>
      <c r="YR183" s="6"/>
      <c r="YS183" s="6"/>
      <c r="YT183" s="6"/>
      <c r="YU183" s="6"/>
      <c r="YV183" s="6"/>
      <c r="YW183" s="6"/>
      <c r="YX183" s="6"/>
      <c r="YY183" s="6"/>
      <c r="YZ183" s="6"/>
      <c r="ZA183" s="6"/>
      <c r="ZB183" s="6"/>
      <c r="ZC183" s="6"/>
      <c r="ZD183" s="6"/>
      <c r="ZE183" s="6"/>
      <c r="ZF183" s="6"/>
      <c r="ZG183" s="6"/>
      <c r="ZH183" s="6"/>
      <c r="ZI183" s="6"/>
      <c r="ZJ183" s="6"/>
      <c r="ZK183" s="6"/>
      <c r="ZL183" s="6"/>
      <c r="ZM183" s="6"/>
      <c r="ZN183" s="6"/>
      <c r="ZO183" s="6"/>
      <c r="ZP183" s="6"/>
      <c r="ZQ183" s="6"/>
      <c r="ZR183" s="6"/>
      <c r="ZS183" s="6"/>
      <c r="ZT183" s="6"/>
      <c r="ZU183" s="6"/>
      <c r="ZV183" s="6"/>
      <c r="ZW183" s="6"/>
      <c r="ZX183" s="6"/>
      <c r="ZY183" s="6"/>
      <c r="ZZ183" s="6"/>
      <c r="AAA183" s="6"/>
      <c r="AAB183" s="6"/>
      <c r="AAC183" s="6"/>
      <c r="AAD183" s="6"/>
      <c r="AAE183" s="6"/>
      <c r="AAF183" s="6"/>
      <c r="AAG183" s="6"/>
      <c r="AAH183" s="6"/>
      <c r="AAI183" s="6"/>
      <c r="AAJ183" s="6"/>
      <c r="AAK183" s="6"/>
      <c r="AAL183" s="6"/>
      <c r="AAM183" s="6"/>
      <c r="AAN183" s="6"/>
      <c r="AAO183" s="6"/>
      <c r="AAP183" s="6"/>
      <c r="AAQ183" s="6"/>
      <c r="AAR183" s="6"/>
      <c r="AAS183" s="6"/>
      <c r="AAT183" s="6"/>
      <c r="AAU183" s="6"/>
      <c r="AAV183" s="6"/>
      <c r="AAW183" s="6"/>
      <c r="AAX183" s="6"/>
      <c r="AAY183" s="6"/>
      <c r="AAZ183" s="6"/>
      <c r="ABA183" s="6"/>
      <c r="ABB183" s="6"/>
      <c r="ABC183" s="6"/>
      <c r="ABD183" s="6"/>
      <c r="ABE183" s="6"/>
      <c r="ABF183" s="6"/>
      <c r="ABG183" s="6"/>
      <c r="ABH183" s="6"/>
      <c r="ABI183" s="6"/>
      <c r="ABJ183" s="6"/>
      <c r="ABK183" s="6"/>
      <c r="ABL183" s="6"/>
      <c r="ABM183" s="6"/>
      <c r="ABN183" s="6"/>
      <c r="ABO183" s="6"/>
      <c r="ABP183" s="6"/>
      <c r="ABQ183" s="6"/>
      <c r="ABR183" s="6"/>
      <c r="ABS183" s="6"/>
      <c r="ABT183" s="6"/>
      <c r="ABU183" s="6"/>
      <c r="ABV183" s="6"/>
      <c r="ABW183" s="6"/>
      <c r="ABX183" s="6"/>
      <c r="ABY183" s="6"/>
      <c r="ABZ183" s="6"/>
      <c r="ACA183" s="6"/>
      <c r="ACB183" s="6"/>
      <c r="ACC183" s="6"/>
      <c r="ACD183" s="6"/>
      <c r="ACE183" s="6"/>
      <c r="ACF183" s="6"/>
      <c r="ACG183" s="6"/>
      <c r="ACH183" s="6"/>
      <c r="ACI183" s="6"/>
      <c r="ACJ183" s="6"/>
      <c r="ACK183" s="6"/>
      <c r="ACL183" s="6"/>
      <c r="ACM183" s="6"/>
      <c r="ACN183" s="6"/>
      <c r="ACO183" s="6"/>
      <c r="ACP183" s="6"/>
      <c r="ACQ183" s="6"/>
      <c r="ACR183" s="6"/>
      <c r="ACS183" s="6"/>
      <c r="ACT183" s="6"/>
      <c r="ACU183" s="6"/>
      <c r="ACV183" s="6"/>
      <c r="ACW183" s="6"/>
      <c r="ACX183" s="6"/>
      <c r="ACY183" s="6"/>
      <c r="ACZ183" s="6"/>
      <c r="ADA183" s="6"/>
      <c r="ADB183" s="6"/>
      <c r="ADC183" s="6"/>
      <c r="ADD183" s="6"/>
      <c r="ADE183" s="6"/>
      <c r="ADF183" s="6"/>
      <c r="ADG183" s="6"/>
      <c r="ADH183" s="6"/>
      <c r="ADI183" s="6"/>
      <c r="ADJ183" s="6"/>
    </row>
    <row r="184" spans="1:790" s="291" customFormat="1" x14ac:dyDescent="0.3">
      <c r="A184" s="399"/>
      <c r="B184" s="571" t="s">
        <v>117</v>
      </c>
      <c r="C184" s="366"/>
      <c r="D184" s="367">
        <f>5.2+1</f>
        <v>6.2</v>
      </c>
      <c r="E184" s="367">
        <f>2.46+1</f>
        <v>3.46</v>
      </c>
      <c r="F184" s="362"/>
      <c r="G184" s="362">
        <v>0.2</v>
      </c>
      <c r="H184" s="362">
        <f t="shared" ref="H184:H185" si="187">+PRODUCT(C184:G184)</f>
        <v>4.2904000000000009</v>
      </c>
      <c r="I184" s="369" t="s">
        <v>22</v>
      </c>
      <c r="J184" s="362">
        <f>+PRODUCT(C184:G184)</f>
        <v>4.2904000000000009</v>
      </c>
      <c r="K184" s="363">
        <v>180</v>
      </c>
      <c r="L184" s="370">
        <f t="shared" si="182"/>
        <v>772.27200000000016</v>
      </c>
      <c r="M184" s="490">
        <f t="shared" si="183"/>
        <v>150.29999999999998</v>
      </c>
      <c r="N184" s="489">
        <f t="shared" si="138"/>
        <v>644.84712000000002</v>
      </c>
      <c r="O184" s="308"/>
      <c r="Q184" s="497"/>
      <c r="R184" s="481">
        <f t="shared" si="148"/>
        <v>4.2904000000000009</v>
      </c>
      <c r="S184" s="514">
        <f>S183</f>
        <v>15</v>
      </c>
      <c r="T184" s="515">
        <f t="shared" si="143"/>
        <v>64.356000000000009</v>
      </c>
      <c r="U184" s="482">
        <f t="shared" si="144"/>
        <v>4.2904000000000009</v>
      </c>
      <c r="V184" s="526">
        <f>V183</f>
        <v>120</v>
      </c>
      <c r="W184" s="515">
        <f t="shared" si="145"/>
        <v>514.84800000000007</v>
      </c>
      <c r="X184" s="507">
        <f t="shared" si="184"/>
        <v>135</v>
      </c>
      <c r="Y184" s="520">
        <f t="shared" si="185"/>
        <v>15.299999999999983</v>
      </c>
      <c r="Z184" s="521">
        <f t="shared" si="186"/>
        <v>0.10179640718562864</v>
      </c>
      <c r="AA184" s="471"/>
      <c r="AB184" s="471"/>
      <c r="AC184" s="471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J184" s="6"/>
      <c r="IK184" s="6"/>
      <c r="IL184" s="6"/>
      <c r="IM184" s="6"/>
      <c r="IN184" s="6"/>
      <c r="IO184" s="6"/>
      <c r="IP184" s="6"/>
      <c r="IQ184" s="6"/>
      <c r="IR184" s="6"/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6"/>
      <c r="KZ184" s="6"/>
      <c r="LA184" s="6"/>
      <c r="LB184" s="6"/>
      <c r="LC184" s="6"/>
      <c r="LD184" s="6"/>
      <c r="LE184" s="6"/>
      <c r="LF184" s="6"/>
      <c r="LG184" s="6"/>
      <c r="LH184" s="6"/>
      <c r="LI184" s="6"/>
      <c r="LJ184" s="6"/>
      <c r="LK184" s="6"/>
      <c r="LL184" s="6"/>
      <c r="LM184" s="6"/>
      <c r="LN184" s="6"/>
      <c r="LO184" s="6"/>
      <c r="LP184" s="6"/>
      <c r="LQ184" s="6"/>
      <c r="LR184" s="6"/>
      <c r="LS184" s="6"/>
      <c r="LT184" s="6"/>
      <c r="LU184" s="6"/>
      <c r="LV184" s="6"/>
      <c r="LW184" s="6"/>
      <c r="LX184" s="6"/>
      <c r="LY184" s="6"/>
      <c r="LZ184" s="6"/>
      <c r="MA184" s="6"/>
      <c r="MB184" s="6"/>
      <c r="MC184" s="6"/>
      <c r="MD184" s="6"/>
      <c r="ME184" s="6"/>
      <c r="MF184" s="6"/>
      <c r="MG184" s="6"/>
      <c r="MH184" s="6"/>
      <c r="MI184" s="6"/>
      <c r="MJ184" s="6"/>
      <c r="MK184" s="6"/>
      <c r="ML184" s="6"/>
      <c r="MM184" s="6"/>
      <c r="MN184" s="6"/>
      <c r="MO184" s="6"/>
      <c r="MP184" s="6"/>
      <c r="MQ184" s="6"/>
      <c r="MR184" s="6"/>
      <c r="MS184" s="6"/>
      <c r="MT184" s="6"/>
      <c r="MU184" s="6"/>
      <c r="MV184" s="6"/>
      <c r="MW184" s="6"/>
      <c r="MX184" s="6"/>
      <c r="MY184" s="6"/>
      <c r="MZ184" s="6"/>
      <c r="NA184" s="6"/>
      <c r="NB184" s="6"/>
      <c r="NC184" s="6"/>
      <c r="ND184" s="6"/>
      <c r="NE184" s="6"/>
      <c r="NF184" s="6"/>
      <c r="NG184" s="6"/>
      <c r="NH184" s="6"/>
      <c r="NI184" s="6"/>
      <c r="NJ184" s="6"/>
      <c r="NK184" s="6"/>
      <c r="NL184" s="6"/>
      <c r="NM184" s="6"/>
      <c r="NN184" s="6"/>
      <c r="NO184" s="6"/>
      <c r="NP184" s="6"/>
      <c r="NQ184" s="6"/>
      <c r="NR184" s="6"/>
      <c r="NS184" s="6"/>
      <c r="NT184" s="6"/>
      <c r="NU184" s="6"/>
      <c r="NV184" s="6"/>
      <c r="NW184" s="6"/>
      <c r="NX184" s="6"/>
      <c r="NY184" s="6"/>
      <c r="NZ184" s="6"/>
      <c r="OA184" s="6"/>
      <c r="OB184" s="6"/>
      <c r="OC184" s="6"/>
      <c r="OD184" s="6"/>
      <c r="OE184" s="6"/>
      <c r="OF184" s="6"/>
      <c r="OG184" s="6"/>
      <c r="OH184" s="6"/>
      <c r="OI184" s="6"/>
      <c r="OJ184" s="6"/>
      <c r="OK184" s="6"/>
      <c r="OL184" s="6"/>
      <c r="OM184" s="6"/>
      <c r="ON184" s="6"/>
      <c r="OO184" s="6"/>
      <c r="OP184" s="6"/>
      <c r="OQ184" s="6"/>
      <c r="OR184" s="6"/>
      <c r="OS184" s="6"/>
      <c r="OT184" s="6"/>
      <c r="OU184" s="6"/>
      <c r="OV184" s="6"/>
      <c r="OW184" s="6"/>
      <c r="OX184" s="6"/>
      <c r="OY184" s="6"/>
      <c r="OZ184" s="6"/>
      <c r="PA184" s="6"/>
      <c r="PB184" s="6"/>
      <c r="PC184" s="6"/>
      <c r="PD184" s="6"/>
      <c r="PE184" s="6"/>
      <c r="PF184" s="6"/>
      <c r="PG184" s="6"/>
      <c r="PH184" s="6"/>
      <c r="PI184" s="6"/>
      <c r="PJ184" s="6"/>
      <c r="PK184" s="6"/>
      <c r="PL184" s="6"/>
      <c r="PM184" s="6"/>
      <c r="PN184" s="6"/>
      <c r="PO184" s="6"/>
      <c r="PP184" s="6"/>
      <c r="PQ184" s="6"/>
      <c r="PR184" s="6"/>
      <c r="PS184" s="6"/>
      <c r="PT184" s="6"/>
      <c r="PU184" s="6"/>
      <c r="PV184" s="6"/>
      <c r="PW184" s="6"/>
      <c r="PX184" s="6"/>
      <c r="PY184" s="6"/>
      <c r="PZ184" s="6"/>
      <c r="QA184" s="6"/>
      <c r="QB184" s="6"/>
      <c r="QC184" s="6"/>
      <c r="QD184" s="6"/>
      <c r="QE184" s="6"/>
      <c r="QF184" s="6"/>
      <c r="QG184" s="6"/>
      <c r="QH184" s="6"/>
      <c r="QI184" s="6"/>
      <c r="QJ184" s="6"/>
      <c r="QK184" s="6"/>
      <c r="QL184" s="6"/>
      <c r="QM184" s="6"/>
      <c r="QN184" s="6"/>
      <c r="QO184" s="6"/>
      <c r="QP184" s="6"/>
      <c r="QQ184" s="6"/>
      <c r="QR184" s="6"/>
      <c r="QS184" s="6"/>
      <c r="QT184" s="6"/>
      <c r="QU184" s="6"/>
      <c r="QV184" s="6"/>
      <c r="QW184" s="6"/>
      <c r="QX184" s="6"/>
      <c r="QY184" s="6"/>
      <c r="QZ184" s="6"/>
      <c r="RA184" s="6"/>
      <c r="RB184" s="6"/>
      <c r="RC184" s="6"/>
      <c r="RD184" s="6"/>
      <c r="RE184" s="6"/>
      <c r="RF184" s="6"/>
      <c r="RG184" s="6"/>
      <c r="RH184" s="6"/>
      <c r="RI184" s="6"/>
      <c r="RJ184" s="6"/>
      <c r="RK184" s="6"/>
      <c r="RL184" s="6"/>
      <c r="RM184" s="6"/>
      <c r="RN184" s="6"/>
      <c r="RO184" s="6"/>
      <c r="RP184" s="6"/>
      <c r="RQ184" s="6"/>
      <c r="RR184" s="6"/>
      <c r="RS184" s="6"/>
      <c r="RT184" s="6"/>
      <c r="RU184" s="6"/>
      <c r="RV184" s="6"/>
      <c r="RW184" s="6"/>
      <c r="RX184" s="6"/>
      <c r="RY184" s="6"/>
      <c r="RZ184" s="6"/>
      <c r="SA184" s="6"/>
      <c r="SB184" s="6"/>
      <c r="SC184" s="6"/>
      <c r="SD184" s="6"/>
      <c r="SE184" s="6"/>
      <c r="SF184" s="6"/>
      <c r="SG184" s="6"/>
      <c r="SH184" s="6"/>
      <c r="SI184" s="6"/>
      <c r="SJ184" s="6"/>
      <c r="SK184" s="6"/>
      <c r="SL184" s="6"/>
      <c r="SM184" s="6"/>
      <c r="SN184" s="6"/>
      <c r="SO184" s="6"/>
      <c r="SP184" s="6"/>
      <c r="SQ184" s="6"/>
      <c r="SR184" s="6"/>
      <c r="SS184" s="6"/>
      <c r="ST184" s="6"/>
      <c r="SU184" s="6"/>
      <c r="SV184" s="6"/>
      <c r="SW184" s="6"/>
      <c r="SX184" s="6"/>
      <c r="SY184" s="6"/>
      <c r="SZ184" s="6"/>
      <c r="TA184" s="6"/>
      <c r="TB184" s="6"/>
      <c r="TC184" s="6"/>
      <c r="TD184" s="6"/>
      <c r="TE184" s="6"/>
      <c r="TF184" s="6"/>
      <c r="TG184" s="6"/>
      <c r="TH184" s="6"/>
      <c r="TI184" s="6"/>
      <c r="TJ184" s="6"/>
      <c r="TK184" s="6"/>
      <c r="TL184" s="6"/>
      <c r="TM184" s="6"/>
      <c r="TN184" s="6"/>
      <c r="TO184" s="6"/>
      <c r="TP184" s="6"/>
      <c r="TQ184" s="6"/>
      <c r="TR184" s="6"/>
      <c r="TS184" s="6"/>
      <c r="TT184" s="6"/>
      <c r="TU184" s="6"/>
      <c r="TV184" s="6"/>
      <c r="TW184" s="6"/>
      <c r="TX184" s="6"/>
      <c r="TY184" s="6"/>
      <c r="TZ184" s="6"/>
      <c r="UA184" s="6"/>
      <c r="UB184" s="6"/>
      <c r="UC184" s="6"/>
      <c r="UD184" s="6"/>
      <c r="UE184" s="6"/>
      <c r="UF184" s="6"/>
      <c r="UG184" s="6"/>
      <c r="UH184" s="6"/>
      <c r="UI184" s="6"/>
      <c r="UJ184" s="6"/>
      <c r="UK184" s="6"/>
      <c r="UL184" s="6"/>
      <c r="UM184" s="6"/>
      <c r="UN184" s="6"/>
      <c r="UO184" s="6"/>
      <c r="UP184" s="6"/>
      <c r="UQ184" s="6"/>
      <c r="UR184" s="6"/>
      <c r="US184" s="6"/>
      <c r="UT184" s="6"/>
      <c r="UU184" s="6"/>
      <c r="UV184" s="6"/>
      <c r="UW184" s="6"/>
      <c r="UX184" s="6"/>
      <c r="UY184" s="6"/>
      <c r="UZ184" s="6"/>
      <c r="VA184" s="6"/>
      <c r="VB184" s="6"/>
      <c r="VC184" s="6"/>
      <c r="VD184" s="6"/>
      <c r="VE184" s="6"/>
      <c r="VF184" s="6"/>
      <c r="VG184" s="6"/>
      <c r="VH184" s="6"/>
      <c r="VI184" s="6"/>
      <c r="VJ184" s="6"/>
      <c r="VK184" s="6"/>
      <c r="VL184" s="6"/>
      <c r="VM184" s="6"/>
      <c r="VN184" s="6"/>
      <c r="VO184" s="6"/>
      <c r="VP184" s="6"/>
      <c r="VQ184" s="6"/>
      <c r="VR184" s="6"/>
      <c r="VS184" s="6"/>
      <c r="VT184" s="6"/>
      <c r="VU184" s="6"/>
      <c r="VV184" s="6"/>
      <c r="VW184" s="6"/>
      <c r="VX184" s="6"/>
      <c r="VY184" s="6"/>
      <c r="VZ184" s="6"/>
      <c r="WA184" s="6"/>
      <c r="WB184" s="6"/>
      <c r="WC184" s="6"/>
      <c r="WD184" s="6"/>
      <c r="WE184" s="6"/>
      <c r="WF184" s="6"/>
      <c r="WG184" s="6"/>
      <c r="WH184" s="6"/>
      <c r="WI184" s="6"/>
      <c r="WJ184" s="6"/>
      <c r="WK184" s="6"/>
      <c r="WL184" s="6"/>
      <c r="WM184" s="6"/>
      <c r="WN184" s="6"/>
      <c r="WO184" s="6"/>
      <c r="WP184" s="6"/>
      <c r="WQ184" s="6"/>
      <c r="WR184" s="6"/>
      <c r="WS184" s="6"/>
      <c r="WT184" s="6"/>
      <c r="WU184" s="6"/>
      <c r="WV184" s="6"/>
      <c r="WW184" s="6"/>
      <c r="WX184" s="6"/>
      <c r="WY184" s="6"/>
      <c r="WZ184" s="6"/>
      <c r="XA184" s="6"/>
      <c r="XB184" s="6"/>
      <c r="XC184" s="6"/>
      <c r="XD184" s="6"/>
      <c r="XE184" s="6"/>
      <c r="XF184" s="6"/>
      <c r="XG184" s="6"/>
      <c r="XH184" s="6"/>
      <c r="XI184" s="6"/>
      <c r="XJ184" s="6"/>
      <c r="XK184" s="6"/>
      <c r="XL184" s="6"/>
      <c r="XM184" s="6"/>
      <c r="XN184" s="6"/>
      <c r="XO184" s="6"/>
      <c r="XP184" s="6"/>
      <c r="XQ184" s="6"/>
      <c r="XR184" s="6"/>
      <c r="XS184" s="6"/>
      <c r="XT184" s="6"/>
      <c r="XU184" s="6"/>
      <c r="XV184" s="6"/>
      <c r="XW184" s="6"/>
      <c r="XX184" s="6"/>
      <c r="XY184" s="6"/>
      <c r="XZ184" s="6"/>
      <c r="YA184" s="6"/>
      <c r="YB184" s="6"/>
      <c r="YC184" s="6"/>
      <c r="YD184" s="6"/>
      <c r="YE184" s="6"/>
      <c r="YF184" s="6"/>
      <c r="YG184" s="6"/>
      <c r="YH184" s="6"/>
      <c r="YI184" s="6"/>
      <c r="YJ184" s="6"/>
      <c r="YK184" s="6"/>
      <c r="YL184" s="6"/>
      <c r="YM184" s="6"/>
      <c r="YN184" s="6"/>
      <c r="YO184" s="6"/>
      <c r="YP184" s="6"/>
      <c r="YQ184" s="6"/>
      <c r="YR184" s="6"/>
      <c r="YS184" s="6"/>
      <c r="YT184" s="6"/>
      <c r="YU184" s="6"/>
      <c r="YV184" s="6"/>
      <c r="YW184" s="6"/>
      <c r="YX184" s="6"/>
      <c r="YY184" s="6"/>
      <c r="YZ184" s="6"/>
      <c r="ZA184" s="6"/>
      <c r="ZB184" s="6"/>
      <c r="ZC184" s="6"/>
      <c r="ZD184" s="6"/>
      <c r="ZE184" s="6"/>
      <c r="ZF184" s="6"/>
      <c r="ZG184" s="6"/>
      <c r="ZH184" s="6"/>
      <c r="ZI184" s="6"/>
      <c r="ZJ184" s="6"/>
      <c r="ZK184" s="6"/>
      <c r="ZL184" s="6"/>
      <c r="ZM184" s="6"/>
      <c r="ZN184" s="6"/>
      <c r="ZO184" s="6"/>
      <c r="ZP184" s="6"/>
      <c r="ZQ184" s="6"/>
      <c r="ZR184" s="6"/>
      <c r="ZS184" s="6"/>
      <c r="ZT184" s="6"/>
      <c r="ZU184" s="6"/>
      <c r="ZV184" s="6"/>
      <c r="ZW184" s="6"/>
      <c r="ZX184" s="6"/>
      <c r="ZY184" s="6"/>
      <c r="ZZ184" s="6"/>
      <c r="AAA184" s="6"/>
      <c r="AAB184" s="6"/>
      <c r="AAC184" s="6"/>
      <c r="AAD184" s="6"/>
      <c r="AAE184" s="6"/>
      <c r="AAF184" s="6"/>
      <c r="AAG184" s="6"/>
      <c r="AAH184" s="6"/>
      <c r="AAI184" s="6"/>
      <c r="AAJ184" s="6"/>
      <c r="AAK184" s="6"/>
      <c r="AAL184" s="6"/>
      <c r="AAM184" s="6"/>
      <c r="AAN184" s="6"/>
      <c r="AAO184" s="6"/>
      <c r="AAP184" s="6"/>
      <c r="AAQ184" s="6"/>
      <c r="AAR184" s="6"/>
      <c r="AAS184" s="6"/>
      <c r="AAT184" s="6"/>
      <c r="AAU184" s="6"/>
      <c r="AAV184" s="6"/>
      <c r="AAW184" s="6"/>
      <c r="AAX184" s="6"/>
      <c r="AAY184" s="6"/>
      <c r="AAZ184" s="6"/>
      <c r="ABA184" s="6"/>
      <c r="ABB184" s="6"/>
      <c r="ABC184" s="6"/>
      <c r="ABD184" s="6"/>
      <c r="ABE184" s="6"/>
      <c r="ABF184" s="6"/>
      <c r="ABG184" s="6"/>
      <c r="ABH184" s="6"/>
      <c r="ABI184" s="6"/>
      <c r="ABJ184" s="6"/>
      <c r="ABK184" s="6"/>
      <c r="ABL184" s="6"/>
      <c r="ABM184" s="6"/>
      <c r="ABN184" s="6"/>
      <c r="ABO184" s="6"/>
      <c r="ABP184" s="6"/>
      <c r="ABQ184" s="6"/>
      <c r="ABR184" s="6"/>
      <c r="ABS184" s="6"/>
      <c r="ABT184" s="6"/>
      <c r="ABU184" s="6"/>
      <c r="ABV184" s="6"/>
      <c r="ABW184" s="6"/>
      <c r="ABX184" s="6"/>
      <c r="ABY184" s="6"/>
      <c r="ABZ184" s="6"/>
      <c r="ACA184" s="6"/>
      <c r="ACB184" s="6"/>
      <c r="ACC184" s="6"/>
      <c r="ACD184" s="6"/>
      <c r="ACE184" s="6"/>
      <c r="ACF184" s="6"/>
      <c r="ACG184" s="6"/>
      <c r="ACH184" s="6"/>
      <c r="ACI184" s="6"/>
      <c r="ACJ184" s="6"/>
      <c r="ACK184" s="6"/>
      <c r="ACL184" s="6"/>
      <c r="ACM184" s="6"/>
      <c r="ACN184" s="6"/>
      <c r="ACO184" s="6"/>
      <c r="ACP184" s="6"/>
      <c r="ACQ184" s="6"/>
      <c r="ACR184" s="6"/>
      <c r="ACS184" s="6"/>
      <c r="ACT184" s="6"/>
      <c r="ACU184" s="6"/>
      <c r="ACV184" s="6"/>
      <c r="ACW184" s="6"/>
      <c r="ACX184" s="6"/>
      <c r="ACY184" s="6"/>
      <c r="ACZ184" s="6"/>
      <c r="ADA184" s="6"/>
      <c r="ADB184" s="6"/>
      <c r="ADC184" s="6"/>
      <c r="ADD184" s="6"/>
      <c r="ADE184" s="6"/>
      <c r="ADF184" s="6"/>
      <c r="ADG184" s="6"/>
      <c r="ADH184" s="6"/>
      <c r="ADI184" s="6"/>
      <c r="ADJ184" s="6"/>
    </row>
    <row r="185" spans="1:790" s="291" customFormat="1" x14ac:dyDescent="0.3">
      <c r="A185" s="399"/>
      <c r="B185" s="571" t="s">
        <v>119</v>
      </c>
      <c r="C185" s="366"/>
      <c r="D185" s="367">
        <f>2.4+1</f>
        <v>3.4</v>
      </c>
      <c r="E185" s="367">
        <f>1.8+1</f>
        <v>2.8</v>
      </c>
      <c r="F185" s="362"/>
      <c r="G185" s="362">
        <v>0.2</v>
      </c>
      <c r="H185" s="362">
        <f t="shared" si="187"/>
        <v>1.9039999999999999</v>
      </c>
      <c r="I185" s="369" t="s">
        <v>22</v>
      </c>
      <c r="J185" s="362">
        <f>+PRODUCT(C185:G185)</f>
        <v>1.9039999999999999</v>
      </c>
      <c r="K185" s="363">
        <v>180</v>
      </c>
      <c r="L185" s="370">
        <f t="shared" si="182"/>
        <v>342.71999999999997</v>
      </c>
      <c r="M185" s="490">
        <f t="shared" si="183"/>
        <v>150.29999999999998</v>
      </c>
      <c r="N185" s="489">
        <f t="shared" si="138"/>
        <v>286.17119999999994</v>
      </c>
      <c r="O185" s="308"/>
      <c r="Q185" s="497"/>
      <c r="R185" s="481">
        <f t="shared" si="148"/>
        <v>1.9039999999999999</v>
      </c>
      <c r="S185" s="514">
        <f>S184</f>
        <v>15</v>
      </c>
      <c r="T185" s="515">
        <f t="shared" si="143"/>
        <v>28.56</v>
      </c>
      <c r="U185" s="482">
        <f t="shared" si="144"/>
        <v>1.9039999999999999</v>
      </c>
      <c r="V185" s="526">
        <f>V184</f>
        <v>120</v>
      </c>
      <c r="W185" s="515">
        <f t="shared" si="145"/>
        <v>228.48</v>
      </c>
      <c r="X185" s="507">
        <f t="shared" si="184"/>
        <v>135</v>
      </c>
      <c r="Y185" s="520">
        <f t="shared" si="185"/>
        <v>15.299999999999983</v>
      </c>
      <c r="Z185" s="521">
        <f t="shared" si="186"/>
        <v>0.10179640718562864</v>
      </c>
      <c r="AA185" s="471"/>
      <c r="AB185" s="471"/>
      <c r="AC185" s="471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J185" s="6"/>
      <c r="IK185" s="6"/>
      <c r="IL185" s="6"/>
      <c r="IM185" s="6"/>
      <c r="IN185" s="6"/>
      <c r="IO185" s="6"/>
      <c r="IP185" s="6"/>
      <c r="IQ185" s="6"/>
      <c r="IR185" s="6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6"/>
      <c r="KV185" s="6"/>
      <c r="KW185" s="6"/>
      <c r="KX185" s="6"/>
      <c r="KY185" s="6"/>
      <c r="KZ185" s="6"/>
      <c r="LA185" s="6"/>
      <c r="LB185" s="6"/>
      <c r="LC185" s="6"/>
      <c r="LD185" s="6"/>
      <c r="LE185" s="6"/>
      <c r="LF185" s="6"/>
      <c r="LG185" s="6"/>
      <c r="LH185" s="6"/>
      <c r="LI185" s="6"/>
      <c r="LJ185" s="6"/>
      <c r="LK185" s="6"/>
      <c r="LL185" s="6"/>
      <c r="LM185" s="6"/>
      <c r="LN185" s="6"/>
      <c r="LO185" s="6"/>
      <c r="LP185" s="6"/>
      <c r="LQ185" s="6"/>
      <c r="LR185" s="6"/>
      <c r="LS185" s="6"/>
      <c r="LT185" s="6"/>
      <c r="LU185" s="6"/>
      <c r="LV185" s="6"/>
      <c r="LW185" s="6"/>
      <c r="LX185" s="6"/>
      <c r="LY185" s="6"/>
      <c r="LZ185" s="6"/>
      <c r="MA185" s="6"/>
      <c r="MB185" s="6"/>
      <c r="MC185" s="6"/>
      <c r="MD185" s="6"/>
      <c r="ME185" s="6"/>
      <c r="MF185" s="6"/>
      <c r="MG185" s="6"/>
      <c r="MH185" s="6"/>
      <c r="MI185" s="6"/>
      <c r="MJ185" s="6"/>
      <c r="MK185" s="6"/>
      <c r="ML185" s="6"/>
      <c r="MM185" s="6"/>
      <c r="MN185" s="6"/>
      <c r="MO185" s="6"/>
      <c r="MP185" s="6"/>
      <c r="MQ185" s="6"/>
      <c r="MR185" s="6"/>
      <c r="MS185" s="6"/>
      <c r="MT185" s="6"/>
      <c r="MU185" s="6"/>
      <c r="MV185" s="6"/>
      <c r="MW185" s="6"/>
      <c r="MX185" s="6"/>
      <c r="MY185" s="6"/>
      <c r="MZ185" s="6"/>
      <c r="NA185" s="6"/>
      <c r="NB185" s="6"/>
      <c r="NC185" s="6"/>
      <c r="ND185" s="6"/>
      <c r="NE185" s="6"/>
      <c r="NF185" s="6"/>
      <c r="NG185" s="6"/>
      <c r="NH185" s="6"/>
      <c r="NI185" s="6"/>
      <c r="NJ185" s="6"/>
      <c r="NK185" s="6"/>
      <c r="NL185" s="6"/>
      <c r="NM185" s="6"/>
      <c r="NN185" s="6"/>
      <c r="NO185" s="6"/>
      <c r="NP185" s="6"/>
      <c r="NQ185" s="6"/>
      <c r="NR185" s="6"/>
      <c r="NS185" s="6"/>
      <c r="NT185" s="6"/>
      <c r="NU185" s="6"/>
      <c r="NV185" s="6"/>
      <c r="NW185" s="6"/>
      <c r="NX185" s="6"/>
      <c r="NY185" s="6"/>
      <c r="NZ185" s="6"/>
      <c r="OA185" s="6"/>
      <c r="OB185" s="6"/>
      <c r="OC185" s="6"/>
      <c r="OD185" s="6"/>
      <c r="OE185" s="6"/>
      <c r="OF185" s="6"/>
      <c r="OG185" s="6"/>
      <c r="OH185" s="6"/>
      <c r="OI185" s="6"/>
      <c r="OJ185" s="6"/>
      <c r="OK185" s="6"/>
      <c r="OL185" s="6"/>
      <c r="OM185" s="6"/>
      <c r="ON185" s="6"/>
      <c r="OO185" s="6"/>
      <c r="OP185" s="6"/>
      <c r="OQ185" s="6"/>
      <c r="OR185" s="6"/>
      <c r="OS185" s="6"/>
      <c r="OT185" s="6"/>
      <c r="OU185" s="6"/>
      <c r="OV185" s="6"/>
      <c r="OW185" s="6"/>
      <c r="OX185" s="6"/>
      <c r="OY185" s="6"/>
      <c r="OZ185" s="6"/>
      <c r="PA185" s="6"/>
      <c r="PB185" s="6"/>
      <c r="PC185" s="6"/>
      <c r="PD185" s="6"/>
      <c r="PE185" s="6"/>
      <c r="PF185" s="6"/>
      <c r="PG185" s="6"/>
      <c r="PH185" s="6"/>
      <c r="PI185" s="6"/>
      <c r="PJ185" s="6"/>
      <c r="PK185" s="6"/>
      <c r="PL185" s="6"/>
      <c r="PM185" s="6"/>
      <c r="PN185" s="6"/>
      <c r="PO185" s="6"/>
      <c r="PP185" s="6"/>
      <c r="PQ185" s="6"/>
      <c r="PR185" s="6"/>
      <c r="PS185" s="6"/>
      <c r="PT185" s="6"/>
      <c r="PU185" s="6"/>
      <c r="PV185" s="6"/>
      <c r="PW185" s="6"/>
      <c r="PX185" s="6"/>
      <c r="PY185" s="6"/>
      <c r="PZ185" s="6"/>
      <c r="QA185" s="6"/>
      <c r="QB185" s="6"/>
      <c r="QC185" s="6"/>
      <c r="QD185" s="6"/>
      <c r="QE185" s="6"/>
      <c r="QF185" s="6"/>
      <c r="QG185" s="6"/>
      <c r="QH185" s="6"/>
      <c r="QI185" s="6"/>
      <c r="QJ185" s="6"/>
      <c r="QK185" s="6"/>
      <c r="QL185" s="6"/>
      <c r="QM185" s="6"/>
      <c r="QN185" s="6"/>
      <c r="QO185" s="6"/>
      <c r="QP185" s="6"/>
      <c r="QQ185" s="6"/>
      <c r="QR185" s="6"/>
      <c r="QS185" s="6"/>
      <c r="QT185" s="6"/>
      <c r="QU185" s="6"/>
      <c r="QV185" s="6"/>
      <c r="QW185" s="6"/>
      <c r="QX185" s="6"/>
      <c r="QY185" s="6"/>
      <c r="QZ185" s="6"/>
      <c r="RA185" s="6"/>
      <c r="RB185" s="6"/>
      <c r="RC185" s="6"/>
      <c r="RD185" s="6"/>
      <c r="RE185" s="6"/>
      <c r="RF185" s="6"/>
      <c r="RG185" s="6"/>
      <c r="RH185" s="6"/>
      <c r="RI185" s="6"/>
      <c r="RJ185" s="6"/>
      <c r="RK185" s="6"/>
      <c r="RL185" s="6"/>
      <c r="RM185" s="6"/>
      <c r="RN185" s="6"/>
      <c r="RO185" s="6"/>
      <c r="RP185" s="6"/>
      <c r="RQ185" s="6"/>
      <c r="RR185" s="6"/>
      <c r="RS185" s="6"/>
      <c r="RT185" s="6"/>
      <c r="RU185" s="6"/>
      <c r="RV185" s="6"/>
      <c r="RW185" s="6"/>
      <c r="RX185" s="6"/>
      <c r="RY185" s="6"/>
      <c r="RZ185" s="6"/>
      <c r="SA185" s="6"/>
      <c r="SB185" s="6"/>
      <c r="SC185" s="6"/>
      <c r="SD185" s="6"/>
      <c r="SE185" s="6"/>
      <c r="SF185" s="6"/>
      <c r="SG185" s="6"/>
      <c r="SH185" s="6"/>
      <c r="SI185" s="6"/>
      <c r="SJ185" s="6"/>
      <c r="SK185" s="6"/>
      <c r="SL185" s="6"/>
      <c r="SM185" s="6"/>
      <c r="SN185" s="6"/>
      <c r="SO185" s="6"/>
      <c r="SP185" s="6"/>
      <c r="SQ185" s="6"/>
      <c r="SR185" s="6"/>
      <c r="SS185" s="6"/>
      <c r="ST185" s="6"/>
      <c r="SU185" s="6"/>
      <c r="SV185" s="6"/>
      <c r="SW185" s="6"/>
      <c r="SX185" s="6"/>
      <c r="SY185" s="6"/>
      <c r="SZ185" s="6"/>
      <c r="TA185" s="6"/>
      <c r="TB185" s="6"/>
      <c r="TC185" s="6"/>
      <c r="TD185" s="6"/>
      <c r="TE185" s="6"/>
      <c r="TF185" s="6"/>
      <c r="TG185" s="6"/>
      <c r="TH185" s="6"/>
      <c r="TI185" s="6"/>
      <c r="TJ185" s="6"/>
      <c r="TK185" s="6"/>
      <c r="TL185" s="6"/>
      <c r="TM185" s="6"/>
      <c r="TN185" s="6"/>
      <c r="TO185" s="6"/>
      <c r="TP185" s="6"/>
      <c r="TQ185" s="6"/>
      <c r="TR185" s="6"/>
      <c r="TS185" s="6"/>
      <c r="TT185" s="6"/>
      <c r="TU185" s="6"/>
      <c r="TV185" s="6"/>
      <c r="TW185" s="6"/>
      <c r="TX185" s="6"/>
      <c r="TY185" s="6"/>
      <c r="TZ185" s="6"/>
      <c r="UA185" s="6"/>
      <c r="UB185" s="6"/>
      <c r="UC185" s="6"/>
      <c r="UD185" s="6"/>
      <c r="UE185" s="6"/>
      <c r="UF185" s="6"/>
      <c r="UG185" s="6"/>
      <c r="UH185" s="6"/>
      <c r="UI185" s="6"/>
      <c r="UJ185" s="6"/>
      <c r="UK185" s="6"/>
      <c r="UL185" s="6"/>
      <c r="UM185" s="6"/>
      <c r="UN185" s="6"/>
      <c r="UO185" s="6"/>
      <c r="UP185" s="6"/>
      <c r="UQ185" s="6"/>
      <c r="UR185" s="6"/>
      <c r="US185" s="6"/>
      <c r="UT185" s="6"/>
      <c r="UU185" s="6"/>
      <c r="UV185" s="6"/>
      <c r="UW185" s="6"/>
      <c r="UX185" s="6"/>
      <c r="UY185" s="6"/>
      <c r="UZ185" s="6"/>
      <c r="VA185" s="6"/>
      <c r="VB185" s="6"/>
      <c r="VC185" s="6"/>
      <c r="VD185" s="6"/>
      <c r="VE185" s="6"/>
      <c r="VF185" s="6"/>
      <c r="VG185" s="6"/>
      <c r="VH185" s="6"/>
      <c r="VI185" s="6"/>
      <c r="VJ185" s="6"/>
      <c r="VK185" s="6"/>
      <c r="VL185" s="6"/>
      <c r="VM185" s="6"/>
      <c r="VN185" s="6"/>
      <c r="VO185" s="6"/>
      <c r="VP185" s="6"/>
      <c r="VQ185" s="6"/>
      <c r="VR185" s="6"/>
      <c r="VS185" s="6"/>
      <c r="VT185" s="6"/>
      <c r="VU185" s="6"/>
      <c r="VV185" s="6"/>
      <c r="VW185" s="6"/>
      <c r="VX185" s="6"/>
      <c r="VY185" s="6"/>
      <c r="VZ185" s="6"/>
      <c r="WA185" s="6"/>
      <c r="WB185" s="6"/>
      <c r="WC185" s="6"/>
      <c r="WD185" s="6"/>
      <c r="WE185" s="6"/>
      <c r="WF185" s="6"/>
      <c r="WG185" s="6"/>
      <c r="WH185" s="6"/>
      <c r="WI185" s="6"/>
      <c r="WJ185" s="6"/>
      <c r="WK185" s="6"/>
      <c r="WL185" s="6"/>
      <c r="WM185" s="6"/>
      <c r="WN185" s="6"/>
      <c r="WO185" s="6"/>
      <c r="WP185" s="6"/>
      <c r="WQ185" s="6"/>
      <c r="WR185" s="6"/>
      <c r="WS185" s="6"/>
      <c r="WT185" s="6"/>
      <c r="WU185" s="6"/>
      <c r="WV185" s="6"/>
      <c r="WW185" s="6"/>
      <c r="WX185" s="6"/>
      <c r="WY185" s="6"/>
      <c r="WZ185" s="6"/>
      <c r="XA185" s="6"/>
      <c r="XB185" s="6"/>
      <c r="XC185" s="6"/>
      <c r="XD185" s="6"/>
      <c r="XE185" s="6"/>
      <c r="XF185" s="6"/>
      <c r="XG185" s="6"/>
      <c r="XH185" s="6"/>
      <c r="XI185" s="6"/>
      <c r="XJ185" s="6"/>
      <c r="XK185" s="6"/>
      <c r="XL185" s="6"/>
      <c r="XM185" s="6"/>
      <c r="XN185" s="6"/>
      <c r="XO185" s="6"/>
      <c r="XP185" s="6"/>
      <c r="XQ185" s="6"/>
      <c r="XR185" s="6"/>
      <c r="XS185" s="6"/>
      <c r="XT185" s="6"/>
      <c r="XU185" s="6"/>
      <c r="XV185" s="6"/>
      <c r="XW185" s="6"/>
      <c r="XX185" s="6"/>
      <c r="XY185" s="6"/>
      <c r="XZ185" s="6"/>
      <c r="YA185" s="6"/>
      <c r="YB185" s="6"/>
      <c r="YC185" s="6"/>
      <c r="YD185" s="6"/>
      <c r="YE185" s="6"/>
      <c r="YF185" s="6"/>
      <c r="YG185" s="6"/>
      <c r="YH185" s="6"/>
      <c r="YI185" s="6"/>
      <c r="YJ185" s="6"/>
      <c r="YK185" s="6"/>
      <c r="YL185" s="6"/>
      <c r="YM185" s="6"/>
      <c r="YN185" s="6"/>
      <c r="YO185" s="6"/>
      <c r="YP185" s="6"/>
      <c r="YQ185" s="6"/>
      <c r="YR185" s="6"/>
      <c r="YS185" s="6"/>
      <c r="YT185" s="6"/>
      <c r="YU185" s="6"/>
      <c r="YV185" s="6"/>
      <c r="YW185" s="6"/>
      <c r="YX185" s="6"/>
      <c r="YY185" s="6"/>
      <c r="YZ185" s="6"/>
      <c r="ZA185" s="6"/>
      <c r="ZB185" s="6"/>
      <c r="ZC185" s="6"/>
      <c r="ZD185" s="6"/>
      <c r="ZE185" s="6"/>
      <c r="ZF185" s="6"/>
      <c r="ZG185" s="6"/>
      <c r="ZH185" s="6"/>
      <c r="ZI185" s="6"/>
      <c r="ZJ185" s="6"/>
      <c r="ZK185" s="6"/>
      <c r="ZL185" s="6"/>
      <c r="ZM185" s="6"/>
      <c r="ZN185" s="6"/>
      <c r="ZO185" s="6"/>
      <c r="ZP185" s="6"/>
      <c r="ZQ185" s="6"/>
      <c r="ZR185" s="6"/>
      <c r="ZS185" s="6"/>
      <c r="ZT185" s="6"/>
      <c r="ZU185" s="6"/>
      <c r="ZV185" s="6"/>
      <c r="ZW185" s="6"/>
      <c r="ZX185" s="6"/>
      <c r="ZY185" s="6"/>
      <c r="ZZ185" s="6"/>
      <c r="AAA185" s="6"/>
      <c r="AAB185" s="6"/>
      <c r="AAC185" s="6"/>
      <c r="AAD185" s="6"/>
      <c r="AAE185" s="6"/>
      <c r="AAF185" s="6"/>
      <c r="AAG185" s="6"/>
      <c r="AAH185" s="6"/>
      <c r="AAI185" s="6"/>
      <c r="AAJ185" s="6"/>
      <c r="AAK185" s="6"/>
      <c r="AAL185" s="6"/>
      <c r="AAM185" s="6"/>
      <c r="AAN185" s="6"/>
      <c r="AAO185" s="6"/>
      <c r="AAP185" s="6"/>
      <c r="AAQ185" s="6"/>
      <c r="AAR185" s="6"/>
      <c r="AAS185" s="6"/>
      <c r="AAT185" s="6"/>
      <c r="AAU185" s="6"/>
      <c r="AAV185" s="6"/>
      <c r="AAW185" s="6"/>
      <c r="AAX185" s="6"/>
      <c r="AAY185" s="6"/>
      <c r="AAZ185" s="6"/>
      <c r="ABA185" s="6"/>
      <c r="ABB185" s="6"/>
      <c r="ABC185" s="6"/>
      <c r="ABD185" s="6"/>
      <c r="ABE185" s="6"/>
      <c r="ABF185" s="6"/>
      <c r="ABG185" s="6"/>
      <c r="ABH185" s="6"/>
      <c r="ABI185" s="6"/>
      <c r="ABJ185" s="6"/>
      <c r="ABK185" s="6"/>
      <c r="ABL185" s="6"/>
      <c r="ABM185" s="6"/>
      <c r="ABN185" s="6"/>
      <c r="ABO185" s="6"/>
      <c r="ABP185" s="6"/>
      <c r="ABQ185" s="6"/>
      <c r="ABR185" s="6"/>
      <c r="ABS185" s="6"/>
      <c r="ABT185" s="6"/>
      <c r="ABU185" s="6"/>
      <c r="ABV185" s="6"/>
      <c r="ABW185" s="6"/>
      <c r="ABX185" s="6"/>
      <c r="ABY185" s="6"/>
      <c r="ABZ185" s="6"/>
      <c r="ACA185" s="6"/>
      <c r="ACB185" s="6"/>
      <c r="ACC185" s="6"/>
      <c r="ACD185" s="6"/>
      <c r="ACE185" s="6"/>
      <c r="ACF185" s="6"/>
      <c r="ACG185" s="6"/>
      <c r="ACH185" s="6"/>
      <c r="ACI185" s="6"/>
      <c r="ACJ185" s="6"/>
      <c r="ACK185" s="6"/>
      <c r="ACL185" s="6"/>
      <c r="ACM185" s="6"/>
      <c r="ACN185" s="6"/>
      <c r="ACO185" s="6"/>
      <c r="ACP185" s="6"/>
      <c r="ACQ185" s="6"/>
      <c r="ACR185" s="6"/>
      <c r="ACS185" s="6"/>
      <c r="ACT185" s="6"/>
      <c r="ACU185" s="6"/>
      <c r="ACV185" s="6"/>
      <c r="ACW185" s="6"/>
      <c r="ACX185" s="6"/>
      <c r="ACY185" s="6"/>
      <c r="ACZ185" s="6"/>
      <c r="ADA185" s="6"/>
      <c r="ADB185" s="6"/>
      <c r="ADC185" s="6"/>
      <c r="ADD185" s="6"/>
      <c r="ADE185" s="6"/>
      <c r="ADF185" s="6"/>
      <c r="ADG185" s="6"/>
      <c r="ADH185" s="6"/>
      <c r="ADI185" s="6"/>
      <c r="ADJ185" s="6"/>
    </row>
    <row r="186" spans="1:790" s="291" customFormat="1" x14ac:dyDescent="0.3">
      <c r="A186" s="399"/>
      <c r="B186" s="571"/>
      <c r="C186" s="366"/>
      <c r="D186" s="367"/>
      <c r="E186" s="367"/>
      <c r="F186" s="362"/>
      <c r="G186" s="362"/>
      <c r="H186" s="362"/>
      <c r="I186" s="369"/>
      <c r="J186" s="362"/>
      <c r="K186" s="363"/>
      <c r="L186" s="370"/>
      <c r="M186" s="490"/>
      <c r="N186" s="489" t="str">
        <f t="shared" si="138"/>
        <v/>
      </c>
      <c r="O186" s="308"/>
      <c r="Q186" s="497"/>
      <c r="R186" s="481"/>
      <c r="S186" s="514"/>
      <c r="T186" s="515" t="str">
        <f t="shared" si="143"/>
        <v/>
      </c>
      <c r="U186" s="482" t="str">
        <f t="shared" si="144"/>
        <v/>
      </c>
      <c r="V186" s="514"/>
      <c r="W186" s="515" t="str">
        <f t="shared" si="145"/>
        <v/>
      </c>
      <c r="X186" s="507"/>
      <c r="Y186" s="507"/>
      <c r="Z186" s="478"/>
      <c r="AA186" s="471"/>
      <c r="AB186" s="471"/>
      <c r="AC186" s="471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6"/>
      <c r="KV186" s="6"/>
      <c r="KW186" s="6"/>
      <c r="KX186" s="6"/>
      <c r="KY186" s="6"/>
      <c r="KZ186" s="6"/>
      <c r="LA186" s="6"/>
      <c r="LB186" s="6"/>
      <c r="LC186" s="6"/>
      <c r="LD186" s="6"/>
      <c r="LE186" s="6"/>
      <c r="LF186" s="6"/>
      <c r="LG186" s="6"/>
      <c r="LH186" s="6"/>
      <c r="LI186" s="6"/>
      <c r="LJ186" s="6"/>
      <c r="LK186" s="6"/>
      <c r="LL186" s="6"/>
      <c r="LM186" s="6"/>
      <c r="LN186" s="6"/>
      <c r="LO186" s="6"/>
      <c r="LP186" s="6"/>
      <c r="LQ186" s="6"/>
      <c r="LR186" s="6"/>
      <c r="LS186" s="6"/>
      <c r="LT186" s="6"/>
      <c r="LU186" s="6"/>
      <c r="LV186" s="6"/>
      <c r="LW186" s="6"/>
      <c r="LX186" s="6"/>
      <c r="LY186" s="6"/>
      <c r="LZ186" s="6"/>
      <c r="MA186" s="6"/>
      <c r="MB186" s="6"/>
      <c r="MC186" s="6"/>
      <c r="MD186" s="6"/>
      <c r="ME186" s="6"/>
      <c r="MF186" s="6"/>
      <c r="MG186" s="6"/>
      <c r="MH186" s="6"/>
      <c r="MI186" s="6"/>
      <c r="MJ186" s="6"/>
      <c r="MK186" s="6"/>
      <c r="ML186" s="6"/>
      <c r="MM186" s="6"/>
      <c r="MN186" s="6"/>
      <c r="MO186" s="6"/>
      <c r="MP186" s="6"/>
      <c r="MQ186" s="6"/>
      <c r="MR186" s="6"/>
      <c r="MS186" s="6"/>
      <c r="MT186" s="6"/>
      <c r="MU186" s="6"/>
      <c r="MV186" s="6"/>
      <c r="MW186" s="6"/>
      <c r="MX186" s="6"/>
      <c r="MY186" s="6"/>
      <c r="MZ186" s="6"/>
      <c r="NA186" s="6"/>
      <c r="NB186" s="6"/>
      <c r="NC186" s="6"/>
      <c r="ND186" s="6"/>
      <c r="NE186" s="6"/>
      <c r="NF186" s="6"/>
      <c r="NG186" s="6"/>
      <c r="NH186" s="6"/>
      <c r="NI186" s="6"/>
      <c r="NJ186" s="6"/>
      <c r="NK186" s="6"/>
      <c r="NL186" s="6"/>
      <c r="NM186" s="6"/>
      <c r="NN186" s="6"/>
      <c r="NO186" s="6"/>
      <c r="NP186" s="6"/>
      <c r="NQ186" s="6"/>
      <c r="NR186" s="6"/>
      <c r="NS186" s="6"/>
      <c r="NT186" s="6"/>
      <c r="NU186" s="6"/>
      <c r="NV186" s="6"/>
      <c r="NW186" s="6"/>
      <c r="NX186" s="6"/>
      <c r="NY186" s="6"/>
      <c r="NZ186" s="6"/>
      <c r="OA186" s="6"/>
      <c r="OB186" s="6"/>
      <c r="OC186" s="6"/>
      <c r="OD186" s="6"/>
      <c r="OE186" s="6"/>
      <c r="OF186" s="6"/>
      <c r="OG186" s="6"/>
      <c r="OH186" s="6"/>
      <c r="OI186" s="6"/>
      <c r="OJ186" s="6"/>
      <c r="OK186" s="6"/>
      <c r="OL186" s="6"/>
      <c r="OM186" s="6"/>
      <c r="ON186" s="6"/>
      <c r="OO186" s="6"/>
      <c r="OP186" s="6"/>
      <c r="OQ186" s="6"/>
      <c r="OR186" s="6"/>
      <c r="OS186" s="6"/>
      <c r="OT186" s="6"/>
      <c r="OU186" s="6"/>
      <c r="OV186" s="6"/>
      <c r="OW186" s="6"/>
      <c r="OX186" s="6"/>
      <c r="OY186" s="6"/>
      <c r="OZ186" s="6"/>
      <c r="PA186" s="6"/>
      <c r="PB186" s="6"/>
      <c r="PC186" s="6"/>
      <c r="PD186" s="6"/>
      <c r="PE186" s="6"/>
      <c r="PF186" s="6"/>
      <c r="PG186" s="6"/>
      <c r="PH186" s="6"/>
      <c r="PI186" s="6"/>
      <c r="PJ186" s="6"/>
      <c r="PK186" s="6"/>
      <c r="PL186" s="6"/>
      <c r="PM186" s="6"/>
      <c r="PN186" s="6"/>
      <c r="PO186" s="6"/>
      <c r="PP186" s="6"/>
      <c r="PQ186" s="6"/>
      <c r="PR186" s="6"/>
      <c r="PS186" s="6"/>
      <c r="PT186" s="6"/>
      <c r="PU186" s="6"/>
      <c r="PV186" s="6"/>
      <c r="PW186" s="6"/>
      <c r="PX186" s="6"/>
      <c r="PY186" s="6"/>
      <c r="PZ186" s="6"/>
      <c r="QA186" s="6"/>
      <c r="QB186" s="6"/>
      <c r="QC186" s="6"/>
      <c r="QD186" s="6"/>
      <c r="QE186" s="6"/>
      <c r="QF186" s="6"/>
      <c r="QG186" s="6"/>
      <c r="QH186" s="6"/>
      <c r="QI186" s="6"/>
      <c r="QJ186" s="6"/>
      <c r="QK186" s="6"/>
      <c r="QL186" s="6"/>
      <c r="QM186" s="6"/>
      <c r="QN186" s="6"/>
      <c r="QO186" s="6"/>
      <c r="QP186" s="6"/>
      <c r="QQ186" s="6"/>
      <c r="QR186" s="6"/>
      <c r="QS186" s="6"/>
      <c r="QT186" s="6"/>
      <c r="QU186" s="6"/>
      <c r="QV186" s="6"/>
      <c r="QW186" s="6"/>
      <c r="QX186" s="6"/>
      <c r="QY186" s="6"/>
      <c r="QZ186" s="6"/>
      <c r="RA186" s="6"/>
      <c r="RB186" s="6"/>
      <c r="RC186" s="6"/>
      <c r="RD186" s="6"/>
      <c r="RE186" s="6"/>
      <c r="RF186" s="6"/>
      <c r="RG186" s="6"/>
      <c r="RH186" s="6"/>
      <c r="RI186" s="6"/>
      <c r="RJ186" s="6"/>
      <c r="RK186" s="6"/>
      <c r="RL186" s="6"/>
      <c r="RM186" s="6"/>
      <c r="RN186" s="6"/>
      <c r="RO186" s="6"/>
      <c r="RP186" s="6"/>
      <c r="RQ186" s="6"/>
      <c r="RR186" s="6"/>
      <c r="RS186" s="6"/>
      <c r="RT186" s="6"/>
      <c r="RU186" s="6"/>
      <c r="RV186" s="6"/>
      <c r="RW186" s="6"/>
      <c r="RX186" s="6"/>
      <c r="RY186" s="6"/>
      <c r="RZ186" s="6"/>
      <c r="SA186" s="6"/>
      <c r="SB186" s="6"/>
      <c r="SC186" s="6"/>
      <c r="SD186" s="6"/>
      <c r="SE186" s="6"/>
      <c r="SF186" s="6"/>
      <c r="SG186" s="6"/>
      <c r="SH186" s="6"/>
      <c r="SI186" s="6"/>
      <c r="SJ186" s="6"/>
      <c r="SK186" s="6"/>
      <c r="SL186" s="6"/>
      <c r="SM186" s="6"/>
      <c r="SN186" s="6"/>
      <c r="SO186" s="6"/>
      <c r="SP186" s="6"/>
      <c r="SQ186" s="6"/>
      <c r="SR186" s="6"/>
      <c r="SS186" s="6"/>
      <c r="ST186" s="6"/>
      <c r="SU186" s="6"/>
      <c r="SV186" s="6"/>
      <c r="SW186" s="6"/>
      <c r="SX186" s="6"/>
      <c r="SY186" s="6"/>
      <c r="SZ186" s="6"/>
      <c r="TA186" s="6"/>
      <c r="TB186" s="6"/>
      <c r="TC186" s="6"/>
      <c r="TD186" s="6"/>
      <c r="TE186" s="6"/>
      <c r="TF186" s="6"/>
      <c r="TG186" s="6"/>
      <c r="TH186" s="6"/>
      <c r="TI186" s="6"/>
      <c r="TJ186" s="6"/>
      <c r="TK186" s="6"/>
      <c r="TL186" s="6"/>
      <c r="TM186" s="6"/>
      <c r="TN186" s="6"/>
      <c r="TO186" s="6"/>
      <c r="TP186" s="6"/>
      <c r="TQ186" s="6"/>
      <c r="TR186" s="6"/>
      <c r="TS186" s="6"/>
      <c r="TT186" s="6"/>
      <c r="TU186" s="6"/>
      <c r="TV186" s="6"/>
      <c r="TW186" s="6"/>
      <c r="TX186" s="6"/>
      <c r="TY186" s="6"/>
      <c r="TZ186" s="6"/>
      <c r="UA186" s="6"/>
      <c r="UB186" s="6"/>
      <c r="UC186" s="6"/>
      <c r="UD186" s="6"/>
      <c r="UE186" s="6"/>
      <c r="UF186" s="6"/>
      <c r="UG186" s="6"/>
      <c r="UH186" s="6"/>
      <c r="UI186" s="6"/>
      <c r="UJ186" s="6"/>
      <c r="UK186" s="6"/>
      <c r="UL186" s="6"/>
      <c r="UM186" s="6"/>
      <c r="UN186" s="6"/>
      <c r="UO186" s="6"/>
      <c r="UP186" s="6"/>
      <c r="UQ186" s="6"/>
      <c r="UR186" s="6"/>
      <c r="US186" s="6"/>
      <c r="UT186" s="6"/>
      <c r="UU186" s="6"/>
      <c r="UV186" s="6"/>
      <c r="UW186" s="6"/>
      <c r="UX186" s="6"/>
      <c r="UY186" s="6"/>
      <c r="UZ186" s="6"/>
      <c r="VA186" s="6"/>
      <c r="VB186" s="6"/>
      <c r="VC186" s="6"/>
      <c r="VD186" s="6"/>
      <c r="VE186" s="6"/>
      <c r="VF186" s="6"/>
      <c r="VG186" s="6"/>
      <c r="VH186" s="6"/>
      <c r="VI186" s="6"/>
      <c r="VJ186" s="6"/>
      <c r="VK186" s="6"/>
      <c r="VL186" s="6"/>
      <c r="VM186" s="6"/>
      <c r="VN186" s="6"/>
      <c r="VO186" s="6"/>
      <c r="VP186" s="6"/>
      <c r="VQ186" s="6"/>
      <c r="VR186" s="6"/>
      <c r="VS186" s="6"/>
      <c r="VT186" s="6"/>
      <c r="VU186" s="6"/>
      <c r="VV186" s="6"/>
      <c r="VW186" s="6"/>
      <c r="VX186" s="6"/>
      <c r="VY186" s="6"/>
      <c r="VZ186" s="6"/>
      <c r="WA186" s="6"/>
      <c r="WB186" s="6"/>
      <c r="WC186" s="6"/>
      <c r="WD186" s="6"/>
      <c r="WE186" s="6"/>
      <c r="WF186" s="6"/>
      <c r="WG186" s="6"/>
      <c r="WH186" s="6"/>
      <c r="WI186" s="6"/>
      <c r="WJ186" s="6"/>
      <c r="WK186" s="6"/>
      <c r="WL186" s="6"/>
      <c r="WM186" s="6"/>
      <c r="WN186" s="6"/>
      <c r="WO186" s="6"/>
      <c r="WP186" s="6"/>
      <c r="WQ186" s="6"/>
      <c r="WR186" s="6"/>
      <c r="WS186" s="6"/>
      <c r="WT186" s="6"/>
      <c r="WU186" s="6"/>
      <c r="WV186" s="6"/>
      <c r="WW186" s="6"/>
      <c r="WX186" s="6"/>
      <c r="WY186" s="6"/>
      <c r="WZ186" s="6"/>
      <c r="XA186" s="6"/>
      <c r="XB186" s="6"/>
      <c r="XC186" s="6"/>
      <c r="XD186" s="6"/>
      <c r="XE186" s="6"/>
      <c r="XF186" s="6"/>
      <c r="XG186" s="6"/>
      <c r="XH186" s="6"/>
      <c r="XI186" s="6"/>
      <c r="XJ186" s="6"/>
      <c r="XK186" s="6"/>
      <c r="XL186" s="6"/>
      <c r="XM186" s="6"/>
      <c r="XN186" s="6"/>
      <c r="XO186" s="6"/>
      <c r="XP186" s="6"/>
      <c r="XQ186" s="6"/>
      <c r="XR186" s="6"/>
      <c r="XS186" s="6"/>
      <c r="XT186" s="6"/>
      <c r="XU186" s="6"/>
      <c r="XV186" s="6"/>
      <c r="XW186" s="6"/>
      <c r="XX186" s="6"/>
      <c r="XY186" s="6"/>
      <c r="XZ186" s="6"/>
      <c r="YA186" s="6"/>
      <c r="YB186" s="6"/>
      <c r="YC186" s="6"/>
      <c r="YD186" s="6"/>
      <c r="YE186" s="6"/>
      <c r="YF186" s="6"/>
      <c r="YG186" s="6"/>
      <c r="YH186" s="6"/>
      <c r="YI186" s="6"/>
      <c r="YJ186" s="6"/>
      <c r="YK186" s="6"/>
      <c r="YL186" s="6"/>
      <c r="YM186" s="6"/>
      <c r="YN186" s="6"/>
      <c r="YO186" s="6"/>
      <c r="YP186" s="6"/>
      <c r="YQ186" s="6"/>
      <c r="YR186" s="6"/>
      <c r="YS186" s="6"/>
      <c r="YT186" s="6"/>
      <c r="YU186" s="6"/>
      <c r="YV186" s="6"/>
      <c r="YW186" s="6"/>
      <c r="YX186" s="6"/>
      <c r="YY186" s="6"/>
      <c r="YZ186" s="6"/>
      <c r="ZA186" s="6"/>
      <c r="ZB186" s="6"/>
      <c r="ZC186" s="6"/>
      <c r="ZD186" s="6"/>
      <c r="ZE186" s="6"/>
      <c r="ZF186" s="6"/>
      <c r="ZG186" s="6"/>
      <c r="ZH186" s="6"/>
      <c r="ZI186" s="6"/>
      <c r="ZJ186" s="6"/>
      <c r="ZK186" s="6"/>
      <c r="ZL186" s="6"/>
      <c r="ZM186" s="6"/>
      <c r="ZN186" s="6"/>
      <c r="ZO186" s="6"/>
      <c r="ZP186" s="6"/>
      <c r="ZQ186" s="6"/>
      <c r="ZR186" s="6"/>
      <c r="ZS186" s="6"/>
      <c r="ZT186" s="6"/>
      <c r="ZU186" s="6"/>
      <c r="ZV186" s="6"/>
      <c r="ZW186" s="6"/>
      <c r="ZX186" s="6"/>
      <c r="ZY186" s="6"/>
      <c r="ZZ186" s="6"/>
      <c r="AAA186" s="6"/>
      <c r="AAB186" s="6"/>
      <c r="AAC186" s="6"/>
      <c r="AAD186" s="6"/>
      <c r="AAE186" s="6"/>
      <c r="AAF186" s="6"/>
      <c r="AAG186" s="6"/>
      <c r="AAH186" s="6"/>
      <c r="AAI186" s="6"/>
      <c r="AAJ186" s="6"/>
      <c r="AAK186" s="6"/>
      <c r="AAL186" s="6"/>
      <c r="AAM186" s="6"/>
      <c r="AAN186" s="6"/>
      <c r="AAO186" s="6"/>
      <c r="AAP186" s="6"/>
      <c r="AAQ186" s="6"/>
      <c r="AAR186" s="6"/>
      <c r="AAS186" s="6"/>
      <c r="AAT186" s="6"/>
      <c r="AAU186" s="6"/>
      <c r="AAV186" s="6"/>
      <c r="AAW186" s="6"/>
      <c r="AAX186" s="6"/>
      <c r="AAY186" s="6"/>
      <c r="AAZ186" s="6"/>
      <c r="ABA186" s="6"/>
      <c r="ABB186" s="6"/>
      <c r="ABC186" s="6"/>
      <c r="ABD186" s="6"/>
      <c r="ABE186" s="6"/>
      <c r="ABF186" s="6"/>
      <c r="ABG186" s="6"/>
      <c r="ABH186" s="6"/>
      <c r="ABI186" s="6"/>
      <c r="ABJ186" s="6"/>
      <c r="ABK186" s="6"/>
      <c r="ABL186" s="6"/>
      <c r="ABM186" s="6"/>
      <c r="ABN186" s="6"/>
      <c r="ABO186" s="6"/>
      <c r="ABP186" s="6"/>
      <c r="ABQ186" s="6"/>
      <c r="ABR186" s="6"/>
      <c r="ABS186" s="6"/>
      <c r="ABT186" s="6"/>
      <c r="ABU186" s="6"/>
      <c r="ABV186" s="6"/>
      <c r="ABW186" s="6"/>
      <c r="ABX186" s="6"/>
      <c r="ABY186" s="6"/>
      <c r="ABZ186" s="6"/>
      <c r="ACA186" s="6"/>
      <c r="ACB186" s="6"/>
      <c r="ACC186" s="6"/>
      <c r="ACD186" s="6"/>
      <c r="ACE186" s="6"/>
      <c r="ACF186" s="6"/>
      <c r="ACG186" s="6"/>
      <c r="ACH186" s="6"/>
      <c r="ACI186" s="6"/>
      <c r="ACJ186" s="6"/>
      <c r="ACK186" s="6"/>
      <c r="ACL186" s="6"/>
      <c r="ACM186" s="6"/>
      <c r="ACN186" s="6"/>
      <c r="ACO186" s="6"/>
      <c r="ACP186" s="6"/>
      <c r="ACQ186" s="6"/>
      <c r="ACR186" s="6"/>
      <c r="ACS186" s="6"/>
      <c r="ACT186" s="6"/>
      <c r="ACU186" s="6"/>
      <c r="ACV186" s="6"/>
      <c r="ACW186" s="6"/>
      <c r="ACX186" s="6"/>
      <c r="ACY186" s="6"/>
      <c r="ACZ186" s="6"/>
      <c r="ADA186" s="6"/>
      <c r="ADB186" s="6"/>
      <c r="ADC186" s="6"/>
      <c r="ADD186" s="6"/>
      <c r="ADE186" s="6"/>
      <c r="ADF186" s="6"/>
      <c r="ADG186" s="6"/>
      <c r="ADH186" s="6"/>
      <c r="ADI186" s="6"/>
      <c r="ADJ186" s="6"/>
    </row>
    <row r="187" spans="1:790" s="291" customFormat="1" ht="27.6" x14ac:dyDescent="0.3">
      <c r="A187" s="399"/>
      <c r="B187" s="558" t="s">
        <v>121</v>
      </c>
      <c r="C187" s="366"/>
      <c r="D187" s="367"/>
      <c r="E187" s="367"/>
      <c r="F187" s="362"/>
      <c r="G187" s="362"/>
      <c r="H187" s="362"/>
      <c r="I187" s="369"/>
      <c r="J187" s="362"/>
      <c r="K187" s="363"/>
      <c r="L187" s="370"/>
      <c r="M187" s="490"/>
      <c r="N187" s="489" t="str">
        <f t="shared" si="138"/>
        <v/>
      </c>
      <c r="O187" s="308"/>
      <c r="Q187" s="497"/>
      <c r="R187" s="481"/>
      <c r="S187" s="514"/>
      <c r="T187" s="515" t="str">
        <f t="shared" si="143"/>
        <v/>
      </c>
      <c r="U187" s="482" t="str">
        <f t="shared" si="144"/>
        <v/>
      </c>
      <c r="V187" s="514"/>
      <c r="W187" s="515" t="str">
        <f t="shared" si="145"/>
        <v/>
      </c>
      <c r="X187" s="507"/>
      <c r="Y187" s="507"/>
      <c r="Z187" s="478"/>
      <c r="AA187" s="471"/>
      <c r="AB187" s="471"/>
      <c r="AC187" s="471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/>
      <c r="IQ187" s="6"/>
      <c r="IR187" s="6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6"/>
      <c r="KZ187" s="6"/>
      <c r="LA187" s="6"/>
      <c r="LB187" s="6"/>
      <c r="LC187" s="6"/>
      <c r="LD187" s="6"/>
      <c r="LE187" s="6"/>
      <c r="LF187" s="6"/>
      <c r="LG187" s="6"/>
      <c r="LH187" s="6"/>
      <c r="LI187" s="6"/>
      <c r="LJ187" s="6"/>
      <c r="LK187" s="6"/>
      <c r="LL187" s="6"/>
      <c r="LM187" s="6"/>
      <c r="LN187" s="6"/>
      <c r="LO187" s="6"/>
      <c r="LP187" s="6"/>
      <c r="LQ187" s="6"/>
      <c r="LR187" s="6"/>
      <c r="LS187" s="6"/>
      <c r="LT187" s="6"/>
      <c r="LU187" s="6"/>
      <c r="LV187" s="6"/>
      <c r="LW187" s="6"/>
      <c r="LX187" s="6"/>
      <c r="LY187" s="6"/>
      <c r="LZ187" s="6"/>
      <c r="MA187" s="6"/>
      <c r="MB187" s="6"/>
      <c r="MC187" s="6"/>
      <c r="MD187" s="6"/>
      <c r="ME187" s="6"/>
      <c r="MF187" s="6"/>
      <c r="MG187" s="6"/>
      <c r="MH187" s="6"/>
      <c r="MI187" s="6"/>
      <c r="MJ187" s="6"/>
      <c r="MK187" s="6"/>
      <c r="ML187" s="6"/>
      <c r="MM187" s="6"/>
      <c r="MN187" s="6"/>
      <c r="MO187" s="6"/>
      <c r="MP187" s="6"/>
      <c r="MQ187" s="6"/>
      <c r="MR187" s="6"/>
      <c r="MS187" s="6"/>
      <c r="MT187" s="6"/>
      <c r="MU187" s="6"/>
      <c r="MV187" s="6"/>
      <c r="MW187" s="6"/>
      <c r="MX187" s="6"/>
      <c r="MY187" s="6"/>
      <c r="MZ187" s="6"/>
      <c r="NA187" s="6"/>
      <c r="NB187" s="6"/>
      <c r="NC187" s="6"/>
      <c r="ND187" s="6"/>
      <c r="NE187" s="6"/>
      <c r="NF187" s="6"/>
      <c r="NG187" s="6"/>
      <c r="NH187" s="6"/>
      <c r="NI187" s="6"/>
      <c r="NJ187" s="6"/>
      <c r="NK187" s="6"/>
      <c r="NL187" s="6"/>
      <c r="NM187" s="6"/>
      <c r="NN187" s="6"/>
      <c r="NO187" s="6"/>
      <c r="NP187" s="6"/>
      <c r="NQ187" s="6"/>
      <c r="NR187" s="6"/>
      <c r="NS187" s="6"/>
      <c r="NT187" s="6"/>
      <c r="NU187" s="6"/>
      <c r="NV187" s="6"/>
      <c r="NW187" s="6"/>
      <c r="NX187" s="6"/>
      <c r="NY187" s="6"/>
      <c r="NZ187" s="6"/>
      <c r="OA187" s="6"/>
      <c r="OB187" s="6"/>
      <c r="OC187" s="6"/>
      <c r="OD187" s="6"/>
      <c r="OE187" s="6"/>
      <c r="OF187" s="6"/>
      <c r="OG187" s="6"/>
      <c r="OH187" s="6"/>
      <c r="OI187" s="6"/>
      <c r="OJ187" s="6"/>
      <c r="OK187" s="6"/>
      <c r="OL187" s="6"/>
      <c r="OM187" s="6"/>
      <c r="ON187" s="6"/>
      <c r="OO187" s="6"/>
      <c r="OP187" s="6"/>
      <c r="OQ187" s="6"/>
      <c r="OR187" s="6"/>
      <c r="OS187" s="6"/>
      <c r="OT187" s="6"/>
      <c r="OU187" s="6"/>
      <c r="OV187" s="6"/>
      <c r="OW187" s="6"/>
      <c r="OX187" s="6"/>
      <c r="OY187" s="6"/>
      <c r="OZ187" s="6"/>
      <c r="PA187" s="6"/>
      <c r="PB187" s="6"/>
      <c r="PC187" s="6"/>
      <c r="PD187" s="6"/>
      <c r="PE187" s="6"/>
      <c r="PF187" s="6"/>
      <c r="PG187" s="6"/>
      <c r="PH187" s="6"/>
      <c r="PI187" s="6"/>
      <c r="PJ187" s="6"/>
      <c r="PK187" s="6"/>
      <c r="PL187" s="6"/>
      <c r="PM187" s="6"/>
      <c r="PN187" s="6"/>
      <c r="PO187" s="6"/>
      <c r="PP187" s="6"/>
      <c r="PQ187" s="6"/>
      <c r="PR187" s="6"/>
      <c r="PS187" s="6"/>
      <c r="PT187" s="6"/>
      <c r="PU187" s="6"/>
      <c r="PV187" s="6"/>
      <c r="PW187" s="6"/>
      <c r="PX187" s="6"/>
      <c r="PY187" s="6"/>
      <c r="PZ187" s="6"/>
      <c r="QA187" s="6"/>
      <c r="QB187" s="6"/>
      <c r="QC187" s="6"/>
      <c r="QD187" s="6"/>
      <c r="QE187" s="6"/>
      <c r="QF187" s="6"/>
      <c r="QG187" s="6"/>
      <c r="QH187" s="6"/>
      <c r="QI187" s="6"/>
      <c r="QJ187" s="6"/>
      <c r="QK187" s="6"/>
      <c r="QL187" s="6"/>
      <c r="QM187" s="6"/>
      <c r="QN187" s="6"/>
      <c r="QO187" s="6"/>
      <c r="QP187" s="6"/>
      <c r="QQ187" s="6"/>
      <c r="QR187" s="6"/>
      <c r="QS187" s="6"/>
      <c r="QT187" s="6"/>
      <c r="QU187" s="6"/>
      <c r="QV187" s="6"/>
      <c r="QW187" s="6"/>
      <c r="QX187" s="6"/>
      <c r="QY187" s="6"/>
      <c r="QZ187" s="6"/>
      <c r="RA187" s="6"/>
      <c r="RB187" s="6"/>
      <c r="RC187" s="6"/>
      <c r="RD187" s="6"/>
      <c r="RE187" s="6"/>
      <c r="RF187" s="6"/>
      <c r="RG187" s="6"/>
      <c r="RH187" s="6"/>
      <c r="RI187" s="6"/>
      <c r="RJ187" s="6"/>
      <c r="RK187" s="6"/>
      <c r="RL187" s="6"/>
      <c r="RM187" s="6"/>
      <c r="RN187" s="6"/>
      <c r="RO187" s="6"/>
      <c r="RP187" s="6"/>
      <c r="RQ187" s="6"/>
      <c r="RR187" s="6"/>
      <c r="RS187" s="6"/>
      <c r="RT187" s="6"/>
      <c r="RU187" s="6"/>
      <c r="RV187" s="6"/>
      <c r="RW187" s="6"/>
      <c r="RX187" s="6"/>
      <c r="RY187" s="6"/>
      <c r="RZ187" s="6"/>
      <c r="SA187" s="6"/>
      <c r="SB187" s="6"/>
      <c r="SC187" s="6"/>
      <c r="SD187" s="6"/>
      <c r="SE187" s="6"/>
      <c r="SF187" s="6"/>
      <c r="SG187" s="6"/>
      <c r="SH187" s="6"/>
      <c r="SI187" s="6"/>
      <c r="SJ187" s="6"/>
      <c r="SK187" s="6"/>
      <c r="SL187" s="6"/>
      <c r="SM187" s="6"/>
      <c r="SN187" s="6"/>
      <c r="SO187" s="6"/>
      <c r="SP187" s="6"/>
      <c r="SQ187" s="6"/>
      <c r="SR187" s="6"/>
      <c r="SS187" s="6"/>
      <c r="ST187" s="6"/>
      <c r="SU187" s="6"/>
      <c r="SV187" s="6"/>
      <c r="SW187" s="6"/>
      <c r="SX187" s="6"/>
      <c r="SY187" s="6"/>
      <c r="SZ187" s="6"/>
      <c r="TA187" s="6"/>
      <c r="TB187" s="6"/>
      <c r="TC187" s="6"/>
      <c r="TD187" s="6"/>
      <c r="TE187" s="6"/>
      <c r="TF187" s="6"/>
      <c r="TG187" s="6"/>
      <c r="TH187" s="6"/>
      <c r="TI187" s="6"/>
      <c r="TJ187" s="6"/>
      <c r="TK187" s="6"/>
      <c r="TL187" s="6"/>
      <c r="TM187" s="6"/>
      <c r="TN187" s="6"/>
      <c r="TO187" s="6"/>
      <c r="TP187" s="6"/>
      <c r="TQ187" s="6"/>
      <c r="TR187" s="6"/>
      <c r="TS187" s="6"/>
      <c r="TT187" s="6"/>
      <c r="TU187" s="6"/>
      <c r="TV187" s="6"/>
      <c r="TW187" s="6"/>
      <c r="TX187" s="6"/>
      <c r="TY187" s="6"/>
      <c r="TZ187" s="6"/>
      <c r="UA187" s="6"/>
      <c r="UB187" s="6"/>
      <c r="UC187" s="6"/>
      <c r="UD187" s="6"/>
      <c r="UE187" s="6"/>
      <c r="UF187" s="6"/>
      <c r="UG187" s="6"/>
      <c r="UH187" s="6"/>
      <c r="UI187" s="6"/>
      <c r="UJ187" s="6"/>
      <c r="UK187" s="6"/>
      <c r="UL187" s="6"/>
      <c r="UM187" s="6"/>
      <c r="UN187" s="6"/>
      <c r="UO187" s="6"/>
      <c r="UP187" s="6"/>
      <c r="UQ187" s="6"/>
      <c r="UR187" s="6"/>
      <c r="US187" s="6"/>
      <c r="UT187" s="6"/>
      <c r="UU187" s="6"/>
      <c r="UV187" s="6"/>
      <c r="UW187" s="6"/>
      <c r="UX187" s="6"/>
      <c r="UY187" s="6"/>
      <c r="UZ187" s="6"/>
      <c r="VA187" s="6"/>
      <c r="VB187" s="6"/>
      <c r="VC187" s="6"/>
      <c r="VD187" s="6"/>
      <c r="VE187" s="6"/>
      <c r="VF187" s="6"/>
      <c r="VG187" s="6"/>
      <c r="VH187" s="6"/>
      <c r="VI187" s="6"/>
      <c r="VJ187" s="6"/>
      <c r="VK187" s="6"/>
      <c r="VL187" s="6"/>
      <c r="VM187" s="6"/>
      <c r="VN187" s="6"/>
      <c r="VO187" s="6"/>
      <c r="VP187" s="6"/>
      <c r="VQ187" s="6"/>
      <c r="VR187" s="6"/>
      <c r="VS187" s="6"/>
      <c r="VT187" s="6"/>
      <c r="VU187" s="6"/>
      <c r="VV187" s="6"/>
      <c r="VW187" s="6"/>
      <c r="VX187" s="6"/>
      <c r="VY187" s="6"/>
      <c r="VZ187" s="6"/>
      <c r="WA187" s="6"/>
      <c r="WB187" s="6"/>
      <c r="WC187" s="6"/>
      <c r="WD187" s="6"/>
      <c r="WE187" s="6"/>
      <c r="WF187" s="6"/>
      <c r="WG187" s="6"/>
      <c r="WH187" s="6"/>
      <c r="WI187" s="6"/>
      <c r="WJ187" s="6"/>
      <c r="WK187" s="6"/>
      <c r="WL187" s="6"/>
      <c r="WM187" s="6"/>
      <c r="WN187" s="6"/>
      <c r="WO187" s="6"/>
      <c r="WP187" s="6"/>
      <c r="WQ187" s="6"/>
      <c r="WR187" s="6"/>
      <c r="WS187" s="6"/>
      <c r="WT187" s="6"/>
      <c r="WU187" s="6"/>
      <c r="WV187" s="6"/>
      <c r="WW187" s="6"/>
      <c r="WX187" s="6"/>
      <c r="WY187" s="6"/>
      <c r="WZ187" s="6"/>
      <c r="XA187" s="6"/>
      <c r="XB187" s="6"/>
      <c r="XC187" s="6"/>
      <c r="XD187" s="6"/>
      <c r="XE187" s="6"/>
      <c r="XF187" s="6"/>
      <c r="XG187" s="6"/>
      <c r="XH187" s="6"/>
      <c r="XI187" s="6"/>
      <c r="XJ187" s="6"/>
      <c r="XK187" s="6"/>
      <c r="XL187" s="6"/>
      <c r="XM187" s="6"/>
      <c r="XN187" s="6"/>
      <c r="XO187" s="6"/>
      <c r="XP187" s="6"/>
      <c r="XQ187" s="6"/>
      <c r="XR187" s="6"/>
      <c r="XS187" s="6"/>
      <c r="XT187" s="6"/>
      <c r="XU187" s="6"/>
      <c r="XV187" s="6"/>
      <c r="XW187" s="6"/>
      <c r="XX187" s="6"/>
      <c r="XY187" s="6"/>
      <c r="XZ187" s="6"/>
      <c r="YA187" s="6"/>
      <c r="YB187" s="6"/>
      <c r="YC187" s="6"/>
      <c r="YD187" s="6"/>
      <c r="YE187" s="6"/>
      <c r="YF187" s="6"/>
      <c r="YG187" s="6"/>
      <c r="YH187" s="6"/>
      <c r="YI187" s="6"/>
      <c r="YJ187" s="6"/>
      <c r="YK187" s="6"/>
      <c r="YL187" s="6"/>
      <c r="YM187" s="6"/>
      <c r="YN187" s="6"/>
      <c r="YO187" s="6"/>
      <c r="YP187" s="6"/>
      <c r="YQ187" s="6"/>
      <c r="YR187" s="6"/>
      <c r="YS187" s="6"/>
      <c r="YT187" s="6"/>
      <c r="YU187" s="6"/>
      <c r="YV187" s="6"/>
      <c r="YW187" s="6"/>
      <c r="YX187" s="6"/>
      <c r="YY187" s="6"/>
      <c r="YZ187" s="6"/>
      <c r="ZA187" s="6"/>
      <c r="ZB187" s="6"/>
      <c r="ZC187" s="6"/>
      <c r="ZD187" s="6"/>
      <c r="ZE187" s="6"/>
      <c r="ZF187" s="6"/>
      <c r="ZG187" s="6"/>
      <c r="ZH187" s="6"/>
      <c r="ZI187" s="6"/>
      <c r="ZJ187" s="6"/>
      <c r="ZK187" s="6"/>
      <c r="ZL187" s="6"/>
      <c r="ZM187" s="6"/>
      <c r="ZN187" s="6"/>
      <c r="ZO187" s="6"/>
      <c r="ZP187" s="6"/>
      <c r="ZQ187" s="6"/>
      <c r="ZR187" s="6"/>
      <c r="ZS187" s="6"/>
      <c r="ZT187" s="6"/>
      <c r="ZU187" s="6"/>
      <c r="ZV187" s="6"/>
      <c r="ZW187" s="6"/>
      <c r="ZX187" s="6"/>
      <c r="ZY187" s="6"/>
      <c r="ZZ187" s="6"/>
      <c r="AAA187" s="6"/>
      <c r="AAB187" s="6"/>
      <c r="AAC187" s="6"/>
      <c r="AAD187" s="6"/>
      <c r="AAE187" s="6"/>
      <c r="AAF187" s="6"/>
      <c r="AAG187" s="6"/>
      <c r="AAH187" s="6"/>
      <c r="AAI187" s="6"/>
      <c r="AAJ187" s="6"/>
      <c r="AAK187" s="6"/>
      <c r="AAL187" s="6"/>
      <c r="AAM187" s="6"/>
      <c r="AAN187" s="6"/>
      <c r="AAO187" s="6"/>
      <c r="AAP187" s="6"/>
      <c r="AAQ187" s="6"/>
      <c r="AAR187" s="6"/>
      <c r="AAS187" s="6"/>
      <c r="AAT187" s="6"/>
      <c r="AAU187" s="6"/>
      <c r="AAV187" s="6"/>
      <c r="AAW187" s="6"/>
      <c r="AAX187" s="6"/>
      <c r="AAY187" s="6"/>
      <c r="AAZ187" s="6"/>
      <c r="ABA187" s="6"/>
      <c r="ABB187" s="6"/>
      <c r="ABC187" s="6"/>
      <c r="ABD187" s="6"/>
      <c r="ABE187" s="6"/>
      <c r="ABF187" s="6"/>
      <c r="ABG187" s="6"/>
      <c r="ABH187" s="6"/>
      <c r="ABI187" s="6"/>
      <c r="ABJ187" s="6"/>
      <c r="ABK187" s="6"/>
      <c r="ABL187" s="6"/>
      <c r="ABM187" s="6"/>
      <c r="ABN187" s="6"/>
      <c r="ABO187" s="6"/>
      <c r="ABP187" s="6"/>
      <c r="ABQ187" s="6"/>
      <c r="ABR187" s="6"/>
      <c r="ABS187" s="6"/>
      <c r="ABT187" s="6"/>
      <c r="ABU187" s="6"/>
      <c r="ABV187" s="6"/>
      <c r="ABW187" s="6"/>
      <c r="ABX187" s="6"/>
      <c r="ABY187" s="6"/>
      <c r="ABZ187" s="6"/>
      <c r="ACA187" s="6"/>
      <c r="ACB187" s="6"/>
      <c r="ACC187" s="6"/>
      <c r="ACD187" s="6"/>
      <c r="ACE187" s="6"/>
      <c r="ACF187" s="6"/>
      <c r="ACG187" s="6"/>
      <c r="ACH187" s="6"/>
      <c r="ACI187" s="6"/>
      <c r="ACJ187" s="6"/>
      <c r="ACK187" s="6"/>
      <c r="ACL187" s="6"/>
      <c r="ACM187" s="6"/>
      <c r="ACN187" s="6"/>
      <c r="ACO187" s="6"/>
      <c r="ACP187" s="6"/>
      <c r="ACQ187" s="6"/>
      <c r="ACR187" s="6"/>
      <c r="ACS187" s="6"/>
      <c r="ACT187" s="6"/>
      <c r="ACU187" s="6"/>
      <c r="ACV187" s="6"/>
      <c r="ACW187" s="6"/>
      <c r="ACX187" s="6"/>
      <c r="ACY187" s="6"/>
      <c r="ACZ187" s="6"/>
      <c r="ADA187" s="6"/>
      <c r="ADB187" s="6"/>
      <c r="ADC187" s="6"/>
      <c r="ADD187" s="6"/>
      <c r="ADE187" s="6"/>
      <c r="ADF187" s="6"/>
      <c r="ADG187" s="6"/>
      <c r="ADH187" s="6"/>
      <c r="ADI187" s="6"/>
      <c r="ADJ187" s="6"/>
    </row>
    <row r="188" spans="1:790" s="291" customFormat="1" ht="86.4" x14ac:dyDescent="0.3">
      <c r="A188" s="399"/>
      <c r="B188" s="438" t="s">
        <v>165</v>
      </c>
      <c r="C188" s="366">
        <v>1</v>
      </c>
      <c r="D188" s="367"/>
      <c r="E188" s="367"/>
      <c r="F188" s="362"/>
      <c r="G188" s="362"/>
      <c r="H188" s="362">
        <f>+PRODUCT(C188:G188)</f>
        <v>1</v>
      </c>
      <c r="I188" s="369" t="s">
        <v>30</v>
      </c>
      <c r="J188" s="362">
        <f>+PRODUCT(C188:G188)</f>
        <v>1</v>
      </c>
      <c r="K188" s="363">
        <v>25000</v>
      </c>
      <c r="L188" s="370">
        <f t="shared" ref="L188:L189" si="188">J188*K188</f>
        <v>25000</v>
      </c>
      <c r="M188" s="490">
        <f t="shared" ref="M188:M189" si="189">K188*(100%-16.5%)</f>
        <v>20875</v>
      </c>
      <c r="N188" s="489">
        <f t="shared" si="138"/>
        <v>20875</v>
      </c>
      <c r="O188" s="308"/>
      <c r="Q188" s="497"/>
      <c r="R188" s="481">
        <f t="shared" si="148"/>
        <v>1</v>
      </c>
      <c r="S188" s="514">
        <f>M188*0.15</f>
        <v>3131.25</v>
      </c>
      <c r="T188" s="515">
        <f t="shared" si="143"/>
        <v>3131.25</v>
      </c>
      <c r="U188" s="482">
        <f t="shared" si="144"/>
        <v>1</v>
      </c>
      <c r="V188" s="524"/>
      <c r="W188" s="515" t="str">
        <f t="shared" si="145"/>
        <v/>
      </c>
      <c r="X188" s="507">
        <f t="shared" ref="X188:X189" si="190">V188+S188</f>
        <v>3131.25</v>
      </c>
      <c r="Y188" s="520">
        <f t="shared" ref="Y188:Y189" si="191">M188-X188</f>
        <v>17743.75</v>
      </c>
      <c r="Z188" s="521">
        <f t="shared" ref="Z188:Z189" si="192">Y188/M188</f>
        <v>0.85</v>
      </c>
      <c r="AA188" s="471"/>
      <c r="AB188" s="471"/>
      <c r="AC188" s="471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J188" s="6"/>
      <c r="IK188" s="6"/>
      <c r="IL188" s="6"/>
      <c r="IM188" s="6"/>
      <c r="IN188" s="6"/>
      <c r="IO188" s="6"/>
      <c r="IP188" s="6"/>
      <c r="IQ188" s="6"/>
      <c r="IR188" s="6"/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6"/>
      <c r="KV188" s="6"/>
      <c r="KW188" s="6"/>
      <c r="KX188" s="6"/>
      <c r="KY188" s="6"/>
      <c r="KZ188" s="6"/>
      <c r="LA188" s="6"/>
      <c r="LB188" s="6"/>
      <c r="LC188" s="6"/>
      <c r="LD188" s="6"/>
      <c r="LE188" s="6"/>
      <c r="LF188" s="6"/>
      <c r="LG188" s="6"/>
      <c r="LH188" s="6"/>
      <c r="LI188" s="6"/>
      <c r="LJ188" s="6"/>
      <c r="LK188" s="6"/>
      <c r="LL188" s="6"/>
      <c r="LM188" s="6"/>
      <c r="LN188" s="6"/>
      <c r="LO188" s="6"/>
      <c r="LP188" s="6"/>
      <c r="LQ188" s="6"/>
      <c r="LR188" s="6"/>
      <c r="LS188" s="6"/>
      <c r="LT188" s="6"/>
      <c r="LU188" s="6"/>
      <c r="LV188" s="6"/>
      <c r="LW188" s="6"/>
      <c r="LX188" s="6"/>
      <c r="LY188" s="6"/>
      <c r="LZ188" s="6"/>
      <c r="MA188" s="6"/>
      <c r="MB188" s="6"/>
      <c r="MC188" s="6"/>
      <c r="MD188" s="6"/>
      <c r="ME188" s="6"/>
      <c r="MF188" s="6"/>
      <c r="MG188" s="6"/>
      <c r="MH188" s="6"/>
      <c r="MI188" s="6"/>
      <c r="MJ188" s="6"/>
      <c r="MK188" s="6"/>
      <c r="ML188" s="6"/>
      <c r="MM188" s="6"/>
      <c r="MN188" s="6"/>
      <c r="MO188" s="6"/>
      <c r="MP188" s="6"/>
      <c r="MQ188" s="6"/>
      <c r="MR188" s="6"/>
      <c r="MS188" s="6"/>
      <c r="MT188" s="6"/>
      <c r="MU188" s="6"/>
      <c r="MV188" s="6"/>
      <c r="MW188" s="6"/>
      <c r="MX188" s="6"/>
      <c r="MY188" s="6"/>
      <c r="MZ188" s="6"/>
      <c r="NA188" s="6"/>
      <c r="NB188" s="6"/>
      <c r="NC188" s="6"/>
      <c r="ND188" s="6"/>
      <c r="NE188" s="6"/>
      <c r="NF188" s="6"/>
      <c r="NG188" s="6"/>
      <c r="NH188" s="6"/>
      <c r="NI188" s="6"/>
      <c r="NJ188" s="6"/>
      <c r="NK188" s="6"/>
      <c r="NL188" s="6"/>
      <c r="NM188" s="6"/>
      <c r="NN188" s="6"/>
      <c r="NO188" s="6"/>
      <c r="NP188" s="6"/>
      <c r="NQ188" s="6"/>
      <c r="NR188" s="6"/>
      <c r="NS188" s="6"/>
      <c r="NT188" s="6"/>
      <c r="NU188" s="6"/>
      <c r="NV188" s="6"/>
      <c r="NW188" s="6"/>
      <c r="NX188" s="6"/>
      <c r="NY188" s="6"/>
      <c r="NZ188" s="6"/>
      <c r="OA188" s="6"/>
      <c r="OB188" s="6"/>
      <c r="OC188" s="6"/>
      <c r="OD188" s="6"/>
      <c r="OE188" s="6"/>
      <c r="OF188" s="6"/>
      <c r="OG188" s="6"/>
      <c r="OH188" s="6"/>
      <c r="OI188" s="6"/>
      <c r="OJ188" s="6"/>
      <c r="OK188" s="6"/>
      <c r="OL188" s="6"/>
      <c r="OM188" s="6"/>
      <c r="ON188" s="6"/>
      <c r="OO188" s="6"/>
      <c r="OP188" s="6"/>
      <c r="OQ188" s="6"/>
      <c r="OR188" s="6"/>
      <c r="OS188" s="6"/>
      <c r="OT188" s="6"/>
      <c r="OU188" s="6"/>
      <c r="OV188" s="6"/>
      <c r="OW188" s="6"/>
      <c r="OX188" s="6"/>
      <c r="OY188" s="6"/>
      <c r="OZ188" s="6"/>
      <c r="PA188" s="6"/>
      <c r="PB188" s="6"/>
      <c r="PC188" s="6"/>
      <c r="PD188" s="6"/>
      <c r="PE188" s="6"/>
      <c r="PF188" s="6"/>
      <c r="PG188" s="6"/>
      <c r="PH188" s="6"/>
      <c r="PI188" s="6"/>
      <c r="PJ188" s="6"/>
      <c r="PK188" s="6"/>
      <c r="PL188" s="6"/>
      <c r="PM188" s="6"/>
      <c r="PN188" s="6"/>
      <c r="PO188" s="6"/>
      <c r="PP188" s="6"/>
      <c r="PQ188" s="6"/>
      <c r="PR188" s="6"/>
      <c r="PS188" s="6"/>
      <c r="PT188" s="6"/>
      <c r="PU188" s="6"/>
      <c r="PV188" s="6"/>
      <c r="PW188" s="6"/>
      <c r="PX188" s="6"/>
      <c r="PY188" s="6"/>
      <c r="PZ188" s="6"/>
      <c r="QA188" s="6"/>
      <c r="QB188" s="6"/>
      <c r="QC188" s="6"/>
      <c r="QD188" s="6"/>
      <c r="QE188" s="6"/>
      <c r="QF188" s="6"/>
      <c r="QG188" s="6"/>
      <c r="QH188" s="6"/>
      <c r="QI188" s="6"/>
      <c r="QJ188" s="6"/>
      <c r="QK188" s="6"/>
      <c r="QL188" s="6"/>
      <c r="QM188" s="6"/>
      <c r="QN188" s="6"/>
      <c r="QO188" s="6"/>
      <c r="QP188" s="6"/>
      <c r="QQ188" s="6"/>
      <c r="QR188" s="6"/>
      <c r="QS188" s="6"/>
      <c r="QT188" s="6"/>
      <c r="QU188" s="6"/>
      <c r="QV188" s="6"/>
      <c r="QW188" s="6"/>
      <c r="QX188" s="6"/>
      <c r="QY188" s="6"/>
      <c r="QZ188" s="6"/>
      <c r="RA188" s="6"/>
      <c r="RB188" s="6"/>
      <c r="RC188" s="6"/>
      <c r="RD188" s="6"/>
      <c r="RE188" s="6"/>
      <c r="RF188" s="6"/>
      <c r="RG188" s="6"/>
      <c r="RH188" s="6"/>
      <c r="RI188" s="6"/>
      <c r="RJ188" s="6"/>
      <c r="RK188" s="6"/>
      <c r="RL188" s="6"/>
      <c r="RM188" s="6"/>
      <c r="RN188" s="6"/>
      <c r="RO188" s="6"/>
      <c r="RP188" s="6"/>
      <c r="RQ188" s="6"/>
      <c r="RR188" s="6"/>
      <c r="RS188" s="6"/>
      <c r="RT188" s="6"/>
      <c r="RU188" s="6"/>
      <c r="RV188" s="6"/>
      <c r="RW188" s="6"/>
      <c r="RX188" s="6"/>
      <c r="RY188" s="6"/>
      <c r="RZ188" s="6"/>
      <c r="SA188" s="6"/>
      <c r="SB188" s="6"/>
      <c r="SC188" s="6"/>
      <c r="SD188" s="6"/>
      <c r="SE188" s="6"/>
      <c r="SF188" s="6"/>
      <c r="SG188" s="6"/>
      <c r="SH188" s="6"/>
      <c r="SI188" s="6"/>
      <c r="SJ188" s="6"/>
      <c r="SK188" s="6"/>
      <c r="SL188" s="6"/>
      <c r="SM188" s="6"/>
      <c r="SN188" s="6"/>
      <c r="SO188" s="6"/>
      <c r="SP188" s="6"/>
      <c r="SQ188" s="6"/>
      <c r="SR188" s="6"/>
      <c r="SS188" s="6"/>
      <c r="ST188" s="6"/>
      <c r="SU188" s="6"/>
      <c r="SV188" s="6"/>
      <c r="SW188" s="6"/>
      <c r="SX188" s="6"/>
      <c r="SY188" s="6"/>
      <c r="SZ188" s="6"/>
      <c r="TA188" s="6"/>
      <c r="TB188" s="6"/>
      <c r="TC188" s="6"/>
      <c r="TD188" s="6"/>
      <c r="TE188" s="6"/>
      <c r="TF188" s="6"/>
      <c r="TG188" s="6"/>
      <c r="TH188" s="6"/>
      <c r="TI188" s="6"/>
      <c r="TJ188" s="6"/>
      <c r="TK188" s="6"/>
      <c r="TL188" s="6"/>
      <c r="TM188" s="6"/>
      <c r="TN188" s="6"/>
      <c r="TO188" s="6"/>
      <c r="TP188" s="6"/>
      <c r="TQ188" s="6"/>
      <c r="TR188" s="6"/>
      <c r="TS188" s="6"/>
      <c r="TT188" s="6"/>
      <c r="TU188" s="6"/>
      <c r="TV188" s="6"/>
      <c r="TW188" s="6"/>
      <c r="TX188" s="6"/>
      <c r="TY188" s="6"/>
      <c r="TZ188" s="6"/>
      <c r="UA188" s="6"/>
      <c r="UB188" s="6"/>
      <c r="UC188" s="6"/>
      <c r="UD188" s="6"/>
      <c r="UE188" s="6"/>
      <c r="UF188" s="6"/>
      <c r="UG188" s="6"/>
      <c r="UH188" s="6"/>
      <c r="UI188" s="6"/>
      <c r="UJ188" s="6"/>
      <c r="UK188" s="6"/>
      <c r="UL188" s="6"/>
      <c r="UM188" s="6"/>
      <c r="UN188" s="6"/>
      <c r="UO188" s="6"/>
      <c r="UP188" s="6"/>
      <c r="UQ188" s="6"/>
      <c r="UR188" s="6"/>
      <c r="US188" s="6"/>
      <c r="UT188" s="6"/>
      <c r="UU188" s="6"/>
      <c r="UV188" s="6"/>
      <c r="UW188" s="6"/>
      <c r="UX188" s="6"/>
      <c r="UY188" s="6"/>
      <c r="UZ188" s="6"/>
      <c r="VA188" s="6"/>
      <c r="VB188" s="6"/>
      <c r="VC188" s="6"/>
      <c r="VD188" s="6"/>
      <c r="VE188" s="6"/>
      <c r="VF188" s="6"/>
      <c r="VG188" s="6"/>
      <c r="VH188" s="6"/>
      <c r="VI188" s="6"/>
      <c r="VJ188" s="6"/>
      <c r="VK188" s="6"/>
      <c r="VL188" s="6"/>
      <c r="VM188" s="6"/>
      <c r="VN188" s="6"/>
      <c r="VO188" s="6"/>
      <c r="VP188" s="6"/>
      <c r="VQ188" s="6"/>
      <c r="VR188" s="6"/>
      <c r="VS188" s="6"/>
      <c r="VT188" s="6"/>
      <c r="VU188" s="6"/>
      <c r="VV188" s="6"/>
      <c r="VW188" s="6"/>
      <c r="VX188" s="6"/>
      <c r="VY188" s="6"/>
      <c r="VZ188" s="6"/>
      <c r="WA188" s="6"/>
      <c r="WB188" s="6"/>
      <c r="WC188" s="6"/>
      <c r="WD188" s="6"/>
      <c r="WE188" s="6"/>
      <c r="WF188" s="6"/>
      <c r="WG188" s="6"/>
      <c r="WH188" s="6"/>
      <c r="WI188" s="6"/>
      <c r="WJ188" s="6"/>
      <c r="WK188" s="6"/>
      <c r="WL188" s="6"/>
      <c r="WM188" s="6"/>
      <c r="WN188" s="6"/>
      <c r="WO188" s="6"/>
      <c r="WP188" s="6"/>
      <c r="WQ188" s="6"/>
      <c r="WR188" s="6"/>
      <c r="WS188" s="6"/>
      <c r="WT188" s="6"/>
      <c r="WU188" s="6"/>
      <c r="WV188" s="6"/>
      <c r="WW188" s="6"/>
      <c r="WX188" s="6"/>
      <c r="WY188" s="6"/>
      <c r="WZ188" s="6"/>
      <c r="XA188" s="6"/>
      <c r="XB188" s="6"/>
      <c r="XC188" s="6"/>
      <c r="XD188" s="6"/>
      <c r="XE188" s="6"/>
      <c r="XF188" s="6"/>
      <c r="XG188" s="6"/>
      <c r="XH188" s="6"/>
      <c r="XI188" s="6"/>
      <c r="XJ188" s="6"/>
      <c r="XK188" s="6"/>
      <c r="XL188" s="6"/>
      <c r="XM188" s="6"/>
      <c r="XN188" s="6"/>
      <c r="XO188" s="6"/>
      <c r="XP188" s="6"/>
      <c r="XQ188" s="6"/>
      <c r="XR188" s="6"/>
      <c r="XS188" s="6"/>
      <c r="XT188" s="6"/>
      <c r="XU188" s="6"/>
      <c r="XV188" s="6"/>
      <c r="XW188" s="6"/>
      <c r="XX188" s="6"/>
      <c r="XY188" s="6"/>
      <c r="XZ188" s="6"/>
      <c r="YA188" s="6"/>
      <c r="YB188" s="6"/>
      <c r="YC188" s="6"/>
      <c r="YD188" s="6"/>
      <c r="YE188" s="6"/>
      <c r="YF188" s="6"/>
      <c r="YG188" s="6"/>
      <c r="YH188" s="6"/>
      <c r="YI188" s="6"/>
      <c r="YJ188" s="6"/>
      <c r="YK188" s="6"/>
      <c r="YL188" s="6"/>
      <c r="YM188" s="6"/>
      <c r="YN188" s="6"/>
      <c r="YO188" s="6"/>
      <c r="YP188" s="6"/>
      <c r="YQ188" s="6"/>
      <c r="YR188" s="6"/>
      <c r="YS188" s="6"/>
      <c r="YT188" s="6"/>
      <c r="YU188" s="6"/>
      <c r="YV188" s="6"/>
      <c r="YW188" s="6"/>
      <c r="YX188" s="6"/>
      <c r="YY188" s="6"/>
      <c r="YZ188" s="6"/>
      <c r="ZA188" s="6"/>
      <c r="ZB188" s="6"/>
      <c r="ZC188" s="6"/>
      <c r="ZD188" s="6"/>
      <c r="ZE188" s="6"/>
      <c r="ZF188" s="6"/>
      <c r="ZG188" s="6"/>
      <c r="ZH188" s="6"/>
      <c r="ZI188" s="6"/>
      <c r="ZJ188" s="6"/>
      <c r="ZK188" s="6"/>
      <c r="ZL188" s="6"/>
      <c r="ZM188" s="6"/>
      <c r="ZN188" s="6"/>
      <c r="ZO188" s="6"/>
      <c r="ZP188" s="6"/>
      <c r="ZQ188" s="6"/>
      <c r="ZR188" s="6"/>
      <c r="ZS188" s="6"/>
      <c r="ZT188" s="6"/>
      <c r="ZU188" s="6"/>
      <c r="ZV188" s="6"/>
      <c r="ZW188" s="6"/>
      <c r="ZX188" s="6"/>
      <c r="ZY188" s="6"/>
      <c r="ZZ188" s="6"/>
      <c r="AAA188" s="6"/>
      <c r="AAB188" s="6"/>
      <c r="AAC188" s="6"/>
      <c r="AAD188" s="6"/>
      <c r="AAE188" s="6"/>
      <c r="AAF188" s="6"/>
      <c r="AAG188" s="6"/>
      <c r="AAH188" s="6"/>
      <c r="AAI188" s="6"/>
      <c r="AAJ188" s="6"/>
      <c r="AAK188" s="6"/>
      <c r="AAL188" s="6"/>
      <c r="AAM188" s="6"/>
      <c r="AAN188" s="6"/>
      <c r="AAO188" s="6"/>
      <c r="AAP188" s="6"/>
      <c r="AAQ188" s="6"/>
      <c r="AAR188" s="6"/>
      <c r="AAS188" s="6"/>
      <c r="AAT188" s="6"/>
      <c r="AAU188" s="6"/>
      <c r="AAV188" s="6"/>
      <c r="AAW188" s="6"/>
      <c r="AAX188" s="6"/>
      <c r="AAY188" s="6"/>
      <c r="AAZ188" s="6"/>
      <c r="ABA188" s="6"/>
      <c r="ABB188" s="6"/>
      <c r="ABC188" s="6"/>
      <c r="ABD188" s="6"/>
      <c r="ABE188" s="6"/>
      <c r="ABF188" s="6"/>
      <c r="ABG188" s="6"/>
      <c r="ABH188" s="6"/>
      <c r="ABI188" s="6"/>
      <c r="ABJ188" s="6"/>
      <c r="ABK188" s="6"/>
      <c r="ABL188" s="6"/>
      <c r="ABM188" s="6"/>
      <c r="ABN188" s="6"/>
      <c r="ABO188" s="6"/>
      <c r="ABP188" s="6"/>
      <c r="ABQ188" s="6"/>
      <c r="ABR188" s="6"/>
      <c r="ABS188" s="6"/>
      <c r="ABT188" s="6"/>
      <c r="ABU188" s="6"/>
      <c r="ABV188" s="6"/>
      <c r="ABW188" s="6"/>
      <c r="ABX188" s="6"/>
      <c r="ABY188" s="6"/>
      <c r="ABZ188" s="6"/>
      <c r="ACA188" s="6"/>
      <c r="ACB188" s="6"/>
      <c r="ACC188" s="6"/>
      <c r="ACD188" s="6"/>
      <c r="ACE188" s="6"/>
      <c r="ACF188" s="6"/>
      <c r="ACG188" s="6"/>
      <c r="ACH188" s="6"/>
      <c r="ACI188" s="6"/>
      <c r="ACJ188" s="6"/>
      <c r="ACK188" s="6"/>
      <c r="ACL188" s="6"/>
      <c r="ACM188" s="6"/>
      <c r="ACN188" s="6"/>
      <c r="ACO188" s="6"/>
      <c r="ACP188" s="6"/>
      <c r="ACQ188" s="6"/>
      <c r="ACR188" s="6"/>
      <c r="ACS188" s="6"/>
      <c r="ACT188" s="6"/>
      <c r="ACU188" s="6"/>
      <c r="ACV188" s="6"/>
      <c r="ACW188" s="6"/>
      <c r="ACX188" s="6"/>
      <c r="ACY188" s="6"/>
      <c r="ACZ188" s="6"/>
      <c r="ADA188" s="6"/>
      <c r="ADB188" s="6"/>
      <c r="ADC188" s="6"/>
      <c r="ADD188" s="6"/>
      <c r="ADE188" s="6"/>
      <c r="ADF188" s="6"/>
      <c r="ADG188" s="6"/>
      <c r="ADH188" s="6"/>
      <c r="ADI188" s="6"/>
      <c r="ADJ188" s="6"/>
    </row>
    <row r="189" spans="1:790" s="291" customFormat="1" x14ac:dyDescent="0.3">
      <c r="A189" s="399"/>
      <c r="B189" s="571" t="s">
        <v>76</v>
      </c>
      <c r="C189" s="366">
        <v>1</v>
      </c>
      <c r="D189" s="367"/>
      <c r="E189" s="367"/>
      <c r="F189" s="362"/>
      <c r="G189" s="362"/>
      <c r="H189" s="362">
        <f>+PRODUCT(C189:G189)</f>
        <v>1</v>
      </c>
      <c r="I189" s="369" t="s">
        <v>30</v>
      </c>
      <c r="J189" s="362">
        <f>+PRODUCT(C189:G189)</f>
        <v>1</v>
      </c>
      <c r="K189" s="363">
        <v>1500</v>
      </c>
      <c r="L189" s="370">
        <f t="shared" si="188"/>
        <v>1500</v>
      </c>
      <c r="M189" s="490">
        <f t="shared" si="189"/>
        <v>1252.5</v>
      </c>
      <c r="N189" s="489">
        <f t="shared" si="138"/>
        <v>1252.5</v>
      </c>
      <c r="O189" s="308"/>
      <c r="Q189" s="497"/>
      <c r="R189" s="481">
        <f t="shared" si="148"/>
        <v>1</v>
      </c>
      <c r="S189" s="514">
        <v>500</v>
      </c>
      <c r="T189" s="515">
        <f t="shared" si="143"/>
        <v>500</v>
      </c>
      <c r="U189" s="482">
        <f t="shared" si="144"/>
        <v>1</v>
      </c>
      <c r="V189" s="514">
        <v>500</v>
      </c>
      <c r="W189" s="515">
        <f t="shared" si="145"/>
        <v>500</v>
      </c>
      <c r="X189" s="507">
        <f t="shared" si="190"/>
        <v>1000</v>
      </c>
      <c r="Y189" s="520">
        <f t="shared" si="191"/>
        <v>252.5</v>
      </c>
      <c r="Z189" s="521">
        <f t="shared" si="192"/>
        <v>0.20159680638722555</v>
      </c>
      <c r="AA189" s="471"/>
      <c r="AB189" s="471"/>
      <c r="AC189" s="471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J189" s="6"/>
      <c r="IK189" s="6"/>
      <c r="IL189" s="6"/>
      <c r="IM189" s="6"/>
      <c r="IN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6"/>
      <c r="KZ189" s="6"/>
      <c r="LA189" s="6"/>
      <c r="LB189" s="6"/>
      <c r="LC189" s="6"/>
      <c r="LD189" s="6"/>
      <c r="LE189" s="6"/>
      <c r="LF189" s="6"/>
      <c r="LG189" s="6"/>
      <c r="LH189" s="6"/>
      <c r="LI189" s="6"/>
      <c r="LJ189" s="6"/>
      <c r="LK189" s="6"/>
      <c r="LL189" s="6"/>
      <c r="LM189" s="6"/>
      <c r="LN189" s="6"/>
      <c r="LO189" s="6"/>
      <c r="LP189" s="6"/>
      <c r="LQ189" s="6"/>
      <c r="LR189" s="6"/>
      <c r="LS189" s="6"/>
      <c r="LT189" s="6"/>
      <c r="LU189" s="6"/>
      <c r="LV189" s="6"/>
      <c r="LW189" s="6"/>
      <c r="LX189" s="6"/>
      <c r="LY189" s="6"/>
      <c r="LZ189" s="6"/>
      <c r="MA189" s="6"/>
      <c r="MB189" s="6"/>
      <c r="MC189" s="6"/>
      <c r="MD189" s="6"/>
      <c r="ME189" s="6"/>
      <c r="MF189" s="6"/>
      <c r="MG189" s="6"/>
      <c r="MH189" s="6"/>
      <c r="MI189" s="6"/>
      <c r="MJ189" s="6"/>
      <c r="MK189" s="6"/>
      <c r="ML189" s="6"/>
      <c r="MM189" s="6"/>
      <c r="MN189" s="6"/>
      <c r="MO189" s="6"/>
      <c r="MP189" s="6"/>
      <c r="MQ189" s="6"/>
      <c r="MR189" s="6"/>
      <c r="MS189" s="6"/>
      <c r="MT189" s="6"/>
      <c r="MU189" s="6"/>
      <c r="MV189" s="6"/>
      <c r="MW189" s="6"/>
      <c r="MX189" s="6"/>
      <c r="MY189" s="6"/>
      <c r="MZ189" s="6"/>
      <c r="NA189" s="6"/>
      <c r="NB189" s="6"/>
      <c r="NC189" s="6"/>
      <c r="ND189" s="6"/>
      <c r="NE189" s="6"/>
      <c r="NF189" s="6"/>
      <c r="NG189" s="6"/>
      <c r="NH189" s="6"/>
      <c r="NI189" s="6"/>
      <c r="NJ189" s="6"/>
      <c r="NK189" s="6"/>
      <c r="NL189" s="6"/>
      <c r="NM189" s="6"/>
      <c r="NN189" s="6"/>
      <c r="NO189" s="6"/>
      <c r="NP189" s="6"/>
      <c r="NQ189" s="6"/>
      <c r="NR189" s="6"/>
      <c r="NS189" s="6"/>
      <c r="NT189" s="6"/>
      <c r="NU189" s="6"/>
      <c r="NV189" s="6"/>
      <c r="NW189" s="6"/>
      <c r="NX189" s="6"/>
      <c r="NY189" s="6"/>
      <c r="NZ189" s="6"/>
      <c r="OA189" s="6"/>
      <c r="OB189" s="6"/>
      <c r="OC189" s="6"/>
      <c r="OD189" s="6"/>
      <c r="OE189" s="6"/>
      <c r="OF189" s="6"/>
      <c r="OG189" s="6"/>
      <c r="OH189" s="6"/>
      <c r="OI189" s="6"/>
      <c r="OJ189" s="6"/>
      <c r="OK189" s="6"/>
      <c r="OL189" s="6"/>
      <c r="OM189" s="6"/>
      <c r="ON189" s="6"/>
      <c r="OO189" s="6"/>
      <c r="OP189" s="6"/>
      <c r="OQ189" s="6"/>
      <c r="OR189" s="6"/>
      <c r="OS189" s="6"/>
      <c r="OT189" s="6"/>
      <c r="OU189" s="6"/>
      <c r="OV189" s="6"/>
      <c r="OW189" s="6"/>
      <c r="OX189" s="6"/>
      <c r="OY189" s="6"/>
      <c r="OZ189" s="6"/>
      <c r="PA189" s="6"/>
      <c r="PB189" s="6"/>
      <c r="PC189" s="6"/>
      <c r="PD189" s="6"/>
      <c r="PE189" s="6"/>
      <c r="PF189" s="6"/>
      <c r="PG189" s="6"/>
      <c r="PH189" s="6"/>
      <c r="PI189" s="6"/>
      <c r="PJ189" s="6"/>
      <c r="PK189" s="6"/>
      <c r="PL189" s="6"/>
      <c r="PM189" s="6"/>
      <c r="PN189" s="6"/>
      <c r="PO189" s="6"/>
      <c r="PP189" s="6"/>
      <c r="PQ189" s="6"/>
      <c r="PR189" s="6"/>
      <c r="PS189" s="6"/>
      <c r="PT189" s="6"/>
      <c r="PU189" s="6"/>
      <c r="PV189" s="6"/>
      <c r="PW189" s="6"/>
      <c r="PX189" s="6"/>
      <c r="PY189" s="6"/>
      <c r="PZ189" s="6"/>
      <c r="QA189" s="6"/>
      <c r="QB189" s="6"/>
      <c r="QC189" s="6"/>
      <c r="QD189" s="6"/>
      <c r="QE189" s="6"/>
      <c r="QF189" s="6"/>
      <c r="QG189" s="6"/>
      <c r="QH189" s="6"/>
      <c r="QI189" s="6"/>
      <c r="QJ189" s="6"/>
      <c r="QK189" s="6"/>
      <c r="QL189" s="6"/>
      <c r="QM189" s="6"/>
      <c r="QN189" s="6"/>
      <c r="QO189" s="6"/>
      <c r="QP189" s="6"/>
      <c r="QQ189" s="6"/>
      <c r="QR189" s="6"/>
      <c r="QS189" s="6"/>
      <c r="QT189" s="6"/>
      <c r="QU189" s="6"/>
      <c r="QV189" s="6"/>
      <c r="QW189" s="6"/>
      <c r="QX189" s="6"/>
      <c r="QY189" s="6"/>
      <c r="QZ189" s="6"/>
      <c r="RA189" s="6"/>
      <c r="RB189" s="6"/>
      <c r="RC189" s="6"/>
      <c r="RD189" s="6"/>
      <c r="RE189" s="6"/>
      <c r="RF189" s="6"/>
      <c r="RG189" s="6"/>
      <c r="RH189" s="6"/>
      <c r="RI189" s="6"/>
      <c r="RJ189" s="6"/>
      <c r="RK189" s="6"/>
      <c r="RL189" s="6"/>
      <c r="RM189" s="6"/>
      <c r="RN189" s="6"/>
      <c r="RO189" s="6"/>
      <c r="RP189" s="6"/>
      <c r="RQ189" s="6"/>
      <c r="RR189" s="6"/>
      <c r="RS189" s="6"/>
      <c r="RT189" s="6"/>
      <c r="RU189" s="6"/>
      <c r="RV189" s="6"/>
      <c r="RW189" s="6"/>
      <c r="RX189" s="6"/>
      <c r="RY189" s="6"/>
      <c r="RZ189" s="6"/>
      <c r="SA189" s="6"/>
      <c r="SB189" s="6"/>
      <c r="SC189" s="6"/>
      <c r="SD189" s="6"/>
      <c r="SE189" s="6"/>
      <c r="SF189" s="6"/>
      <c r="SG189" s="6"/>
      <c r="SH189" s="6"/>
      <c r="SI189" s="6"/>
      <c r="SJ189" s="6"/>
      <c r="SK189" s="6"/>
      <c r="SL189" s="6"/>
      <c r="SM189" s="6"/>
      <c r="SN189" s="6"/>
      <c r="SO189" s="6"/>
      <c r="SP189" s="6"/>
      <c r="SQ189" s="6"/>
      <c r="SR189" s="6"/>
      <c r="SS189" s="6"/>
      <c r="ST189" s="6"/>
      <c r="SU189" s="6"/>
      <c r="SV189" s="6"/>
      <c r="SW189" s="6"/>
      <c r="SX189" s="6"/>
      <c r="SY189" s="6"/>
      <c r="SZ189" s="6"/>
      <c r="TA189" s="6"/>
      <c r="TB189" s="6"/>
      <c r="TC189" s="6"/>
      <c r="TD189" s="6"/>
      <c r="TE189" s="6"/>
      <c r="TF189" s="6"/>
      <c r="TG189" s="6"/>
      <c r="TH189" s="6"/>
      <c r="TI189" s="6"/>
      <c r="TJ189" s="6"/>
      <c r="TK189" s="6"/>
      <c r="TL189" s="6"/>
      <c r="TM189" s="6"/>
      <c r="TN189" s="6"/>
      <c r="TO189" s="6"/>
      <c r="TP189" s="6"/>
      <c r="TQ189" s="6"/>
      <c r="TR189" s="6"/>
      <c r="TS189" s="6"/>
      <c r="TT189" s="6"/>
      <c r="TU189" s="6"/>
      <c r="TV189" s="6"/>
      <c r="TW189" s="6"/>
      <c r="TX189" s="6"/>
      <c r="TY189" s="6"/>
      <c r="TZ189" s="6"/>
      <c r="UA189" s="6"/>
      <c r="UB189" s="6"/>
      <c r="UC189" s="6"/>
      <c r="UD189" s="6"/>
      <c r="UE189" s="6"/>
      <c r="UF189" s="6"/>
      <c r="UG189" s="6"/>
      <c r="UH189" s="6"/>
      <c r="UI189" s="6"/>
      <c r="UJ189" s="6"/>
      <c r="UK189" s="6"/>
      <c r="UL189" s="6"/>
      <c r="UM189" s="6"/>
      <c r="UN189" s="6"/>
      <c r="UO189" s="6"/>
      <c r="UP189" s="6"/>
      <c r="UQ189" s="6"/>
      <c r="UR189" s="6"/>
      <c r="US189" s="6"/>
      <c r="UT189" s="6"/>
      <c r="UU189" s="6"/>
      <c r="UV189" s="6"/>
      <c r="UW189" s="6"/>
      <c r="UX189" s="6"/>
      <c r="UY189" s="6"/>
      <c r="UZ189" s="6"/>
      <c r="VA189" s="6"/>
      <c r="VB189" s="6"/>
      <c r="VC189" s="6"/>
      <c r="VD189" s="6"/>
      <c r="VE189" s="6"/>
      <c r="VF189" s="6"/>
      <c r="VG189" s="6"/>
      <c r="VH189" s="6"/>
      <c r="VI189" s="6"/>
      <c r="VJ189" s="6"/>
      <c r="VK189" s="6"/>
      <c r="VL189" s="6"/>
      <c r="VM189" s="6"/>
      <c r="VN189" s="6"/>
      <c r="VO189" s="6"/>
      <c r="VP189" s="6"/>
      <c r="VQ189" s="6"/>
      <c r="VR189" s="6"/>
      <c r="VS189" s="6"/>
      <c r="VT189" s="6"/>
      <c r="VU189" s="6"/>
      <c r="VV189" s="6"/>
      <c r="VW189" s="6"/>
      <c r="VX189" s="6"/>
      <c r="VY189" s="6"/>
      <c r="VZ189" s="6"/>
      <c r="WA189" s="6"/>
      <c r="WB189" s="6"/>
      <c r="WC189" s="6"/>
      <c r="WD189" s="6"/>
      <c r="WE189" s="6"/>
      <c r="WF189" s="6"/>
      <c r="WG189" s="6"/>
      <c r="WH189" s="6"/>
      <c r="WI189" s="6"/>
      <c r="WJ189" s="6"/>
      <c r="WK189" s="6"/>
      <c r="WL189" s="6"/>
      <c r="WM189" s="6"/>
      <c r="WN189" s="6"/>
      <c r="WO189" s="6"/>
      <c r="WP189" s="6"/>
      <c r="WQ189" s="6"/>
      <c r="WR189" s="6"/>
      <c r="WS189" s="6"/>
      <c r="WT189" s="6"/>
      <c r="WU189" s="6"/>
      <c r="WV189" s="6"/>
      <c r="WW189" s="6"/>
      <c r="WX189" s="6"/>
      <c r="WY189" s="6"/>
      <c r="WZ189" s="6"/>
      <c r="XA189" s="6"/>
      <c r="XB189" s="6"/>
      <c r="XC189" s="6"/>
      <c r="XD189" s="6"/>
      <c r="XE189" s="6"/>
      <c r="XF189" s="6"/>
      <c r="XG189" s="6"/>
      <c r="XH189" s="6"/>
      <c r="XI189" s="6"/>
      <c r="XJ189" s="6"/>
      <c r="XK189" s="6"/>
      <c r="XL189" s="6"/>
      <c r="XM189" s="6"/>
      <c r="XN189" s="6"/>
      <c r="XO189" s="6"/>
      <c r="XP189" s="6"/>
      <c r="XQ189" s="6"/>
      <c r="XR189" s="6"/>
      <c r="XS189" s="6"/>
      <c r="XT189" s="6"/>
      <c r="XU189" s="6"/>
      <c r="XV189" s="6"/>
      <c r="XW189" s="6"/>
      <c r="XX189" s="6"/>
      <c r="XY189" s="6"/>
      <c r="XZ189" s="6"/>
      <c r="YA189" s="6"/>
      <c r="YB189" s="6"/>
      <c r="YC189" s="6"/>
      <c r="YD189" s="6"/>
      <c r="YE189" s="6"/>
      <c r="YF189" s="6"/>
      <c r="YG189" s="6"/>
      <c r="YH189" s="6"/>
      <c r="YI189" s="6"/>
      <c r="YJ189" s="6"/>
      <c r="YK189" s="6"/>
      <c r="YL189" s="6"/>
      <c r="YM189" s="6"/>
      <c r="YN189" s="6"/>
      <c r="YO189" s="6"/>
      <c r="YP189" s="6"/>
      <c r="YQ189" s="6"/>
      <c r="YR189" s="6"/>
      <c r="YS189" s="6"/>
      <c r="YT189" s="6"/>
      <c r="YU189" s="6"/>
      <c r="YV189" s="6"/>
      <c r="YW189" s="6"/>
      <c r="YX189" s="6"/>
      <c r="YY189" s="6"/>
      <c r="YZ189" s="6"/>
      <c r="ZA189" s="6"/>
      <c r="ZB189" s="6"/>
      <c r="ZC189" s="6"/>
      <c r="ZD189" s="6"/>
      <c r="ZE189" s="6"/>
      <c r="ZF189" s="6"/>
      <c r="ZG189" s="6"/>
      <c r="ZH189" s="6"/>
      <c r="ZI189" s="6"/>
      <c r="ZJ189" s="6"/>
      <c r="ZK189" s="6"/>
      <c r="ZL189" s="6"/>
      <c r="ZM189" s="6"/>
      <c r="ZN189" s="6"/>
      <c r="ZO189" s="6"/>
      <c r="ZP189" s="6"/>
      <c r="ZQ189" s="6"/>
      <c r="ZR189" s="6"/>
      <c r="ZS189" s="6"/>
      <c r="ZT189" s="6"/>
      <c r="ZU189" s="6"/>
      <c r="ZV189" s="6"/>
      <c r="ZW189" s="6"/>
      <c r="ZX189" s="6"/>
      <c r="ZY189" s="6"/>
      <c r="ZZ189" s="6"/>
      <c r="AAA189" s="6"/>
      <c r="AAB189" s="6"/>
      <c r="AAC189" s="6"/>
      <c r="AAD189" s="6"/>
      <c r="AAE189" s="6"/>
      <c r="AAF189" s="6"/>
      <c r="AAG189" s="6"/>
      <c r="AAH189" s="6"/>
      <c r="AAI189" s="6"/>
      <c r="AAJ189" s="6"/>
      <c r="AAK189" s="6"/>
      <c r="AAL189" s="6"/>
      <c r="AAM189" s="6"/>
      <c r="AAN189" s="6"/>
      <c r="AAO189" s="6"/>
      <c r="AAP189" s="6"/>
      <c r="AAQ189" s="6"/>
      <c r="AAR189" s="6"/>
      <c r="AAS189" s="6"/>
      <c r="AAT189" s="6"/>
      <c r="AAU189" s="6"/>
      <c r="AAV189" s="6"/>
      <c r="AAW189" s="6"/>
      <c r="AAX189" s="6"/>
      <c r="AAY189" s="6"/>
      <c r="AAZ189" s="6"/>
      <c r="ABA189" s="6"/>
      <c r="ABB189" s="6"/>
      <c r="ABC189" s="6"/>
      <c r="ABD189" s="6"/>
      <c r="ABE189" s="6"/>
      <c r="ABF189" s="6"/>
      <c r="ABG189" s="6"/>
      <c r="ABH189" s="6"/>
      <c r="ABI189" s="6"/>
      <c r="ABJ189" s="6"/>
      <c r="ABK189" s="6"/>
      <c r="ABL189" s="6"/>
      <c r="ABM189" s="6"/>
      <c r="ABN189" s="6"/>
      <c r="ABO189" s="6"/>
      <c r="ABP189" s="6"/>
      <c r="ABQ189" s="6"/>
      <c r="ABR189" s="6"/>
      <c r="ABS189" s="6"/>
      <c r="ABT189" s="6"/>
      <c r="ABU189" s="6"/>
      <c r="ABV189" s="6"/>
      <c r="ABW189" s="6"/>
      <c r="ABX189" s="6"/>
      <c r="ABY189" s="6"/>
      <c r="ABZ189" s="6"/>
      <c r="ACA189" s="6"/>
      <c r="ACB189" s="6"/>
      <c r="ACC189" s="6"/>
      <c r="ACD189" s="6"/>
      <c r="ACE189" s="6"/>
      <c r="ACF189" s="6"/>
      <c r="ACG189" s="6"/>
      <c r="ACH189" s="6"/>
      <c r="ACI189" s="6"/>
      <c r="ACJ189" s="6"/>
      <c r="ACK189" s="6"/>
      <c r="ACL189" s="6"/>
      <c r="ACM189" s="6"/>
      <c r="ACN189" s="6"/>
      <c r="ACO189" s="6"/>
      <c r="ACP189" s="6"/>
      <c r="ACQ189" s="6"/>
      <c r="ACR189" s="6"/>
      <c r="ACS189" s="6"/>
      <c r="ACT189" s="6"/>
      <c r="ACU189" s="6"/>
      <c r="ACV189" s="6"/>
      <c r="ACW189" s="6"/>
      <c r="ACX189" s="6"/>
      <c r="ACY189" s="6"/>
      <c r="ACZ189" s="6"/>
      <c r="ADA189" s="6"/>
      <c r="ADB189" s="6"/>
      <c r="ADC189" s="6"/>
      <c r="ADD189" s="6"/>
      <c r="ADE189" s="6"/>
      <c r="ADF189" s="6"/>
      <c r="ADG189" s="6"/>
      <c r="ADH189" s="6"/>
      <c r="ADI189" s="6"/>
      <c r="ADJ189" s="6"/>
    </row>
    <row r="190" spans="1:790" s="291" customFormat="1" x14ac:dyDescent="0.3">
      <c r="A190" s="399"/>
      <c r="B190" s="571"/>
      <c r="C190" s="366"/>
      <c r="D190" s="367"/>
      <c r="E190" s="367"/>
      <c r="F190" s="362"/>
      <c r="G190" s="362"/>
      <c r="H190" s="362"/>
      <c r="I190" s="369"/>
      <c r="J190" s="362"/>
      <c r="K190" s="363"/>
      <c r="L190" s="370"/>
      <c r="M190" s="490"/>
      <c r="N190" s="489" t="str">
        <f t="shared" si="138"/>
        <v/>
      </c>
      <c r="O190" s="308"/>
      <c r="Q190" s="497"/>
      <c r="R190" s="481"/>
      <c r="S190" s="514"/>
      <c r="T190" s="515" t="str">
        <f t="shared" si="143"/>
        <v/>
      </c>
      <c r="U190" s="482" t="str">
        <f t="shared" si="144"/>
        <v/>
      </c>
      <c r="V190" s="514"/>
      <c r="W190" s="515" t="str">
        <f t="shared" si="145"/>
        <v/>
      </c>
      <c r="X190" s="507"/>
      <c r="Y190" s="507"/>
      <c r="Z190" s="478"/>
      <c r="AA190" s="471"/>
      <c r="AB190" s="471"/>
      <c r="AC190" s="471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6"/>
      <c r="KZ190" s="6"/>
      <c r="LA190" s="6"/>
      <c r="LB190" s="6"/>
      <c r="LC190" s="6"/>
      <c r="LD190" s="6"/>
      <c r="LE190" s="6"/>
      <c r="LF190" s="6"/>
      <c r="LG190" s="6"/>
      <c r="LH190" s="6"/>
      <c r="LI190" s="6"/>
      <c r="LJ190" s="6"/>
      <c r="LK190" s="6"/>
      <c r="LL190" s="6"/>
      <c r="LM190" s="6"/>
      <c r="LN190" s="6"/>
      <c r="LO190" s="6"/>
      <c r="LP190" s="6"/>
      <c r="LQ190" s="6"/>
      <c r="LR190" s="6"/>
      <c r="LS190" s="6"/>
      <c r="LT190" s="6"/>
      <c r="LU190" s="6"/>
      <c r="LV190" s="6"/>
      <c r="LW190" s="6"/>
      <c r="LX190" s="6"/>
      <c r="LY190" s="6"/>
      <c r="LZ190" s="6"/>
      <c r="MA190" s="6"/>
      <c r="MB190" s="6"/>
      <c r="MC190" s="6"/>
      <c r="MD190" s="6"/>
      <c r="ME190" s="6"/>
      <c r="MF190" s="6"/>
      <c r="MG190" s="6"/>
      <c r="MH190" s="6"/>
      <c r="MI190" s="6"/>
      <c r="MJ190" s="6"/>
      <c r="MK190" s="6"/>
      <c r="ML190" s="6"/>
      <c r="MM190" s="6"/>
      <c r="MN190" s="6"/>
      <c r="MO190" s="6"/>
      <c r="MP190" s="6"/>
      <c r="MQ190" s="6"/>
      <c r="MR190" s="6"/>
      <c r="MS190" s="6"/>
      <c r="MT190" s="6"/>
      <c r="MU190" s="6"/>
      <c r="MV190" s="6"/>
      <c r="MW190" s="6"/>
      <c r="MX190" s="6"/>
      <c r="MY190" s="6"/>
      <c r="MZ190" s="6"/>
      <c r="NA190" s="6"/>
      <c r="NB190" s="6"/>
      <c r="NC190" s="6"/>
      <c r="ND190" s="6"/>
      <c r="NE190" s="6"/>
      <c r="NF190" s="6"/>
      <c r="NG190" s="6"/>
      <c r="NH190" s="6"/>
      <c r="NI190" s="6"/>
      <c r="NJ190" s="6"/>
      <c r="NK190" s="6"/>
      <c r="NL190" s="6"/>
      <c r="NM190" s="6"/>
      <c r="NN190" s="6"/>
      <c r="NO190" s="6"/>
      <c r="NP190" s="6"/>
      <c r="NQ190" s="6"/>
      <c r="NR190" s="6"/>
      <c r="NS190" s="6"/>
      <c r="NT190" s="6"/>
      <c r="NU190" s="6"/>
      <c r="NV190" s="6"/>
      <c r="NW190" s="6"/>
      <c r="NX190" s="6"/>
      <c r="NY190" s="6"/>
      <c r="NZ190" s="6"/>
      <c r="OA190" s="6"/>
      <c r="OB190" s="6"/>
      <c r="OC190" s="6"/>
      <c r="OD190" s="6"/>
      <c r="OE190" s="6"/>
      <c r="OF190" s="6"/>
      <c r="OG190" s="6"/>
      <c r="OH190" s="6"/>
      <c r="OI190" s="6"/>
      <c r="OJ190" s="6"/>
      <c r="OK190" s="6"/>
      <c r="OL190" s="6"/>
      <c r="OM190" s="6"/>
      <c r="ON190" s="6"/>
      <c r="OO190" s="6"/>
      <c r="OP190" s="6"/>
      <c r="OQ190" s="6"/>
      <c r="OR190" s="6"/>
      <c r="OS190" s="6"/>
      <c r="OT190" s="6"/>
      <c r="OU190" s="6"/>
      <c r="OV190" s="6"/>
      <c r="OW190" s="6"/>
      <c r="OX190" s="6"/>
      <c r="OY190" s="6"/>
      <c r="OZ190" s="6"/>
      <c r="PA190" s="6"/>
      <c r="PB190" s="6"/>
      <c r="PC190" s="6"/>
      <c r="PD190" s="6"/>
      <c r="PE190" s="6"/>
      <c r="PF190" s="6"/>
      <c r="PG190" s="6"/>
      <c r="PH190" s="6"/>
      <c r="PI190" s="6"/>
      <c r="PJ190" s="6"/>
      <c r="PK190" s="6"/>
      <c r="PL190" s="6"/>
      <c r="PM190" s="6"/>
      <c r="PN190" s="6"/>
      <c r="PO190" s="6"/>
      <c r="PP190" s="6"/>
      <c r="PQ190" s="6"/>
      <c r="PR190" s="6"/>
      <c r="PS190" s="6"/>
      <c r="PT190" s="6"/>
      <c r="PU190" s="6"/>
      <c r="PV190" s="6"/>
      <c r="PW190" s="6"/>
      <c r="PX190" s="6"/>
      <c r="PY190" s="6"/>
      <c r="PZ190" s="6"/>
      <c r="QA190" s="6"/>
      <c r="QB190" s="6"/>
      <c r="QC190" s="6"/>
      <c r="QD190" s="6"/>
      <c r="QE190" s="6"/>
      <c r="QF190" s="6"/>
      <c r="QG190" s="6"/>
      <c r="QH190" s="6"/>
      <c r="QI190" s="6"/>
      <c r="QJ190" s="6"/>
      <c r="QK190" s="6"/>
      <c r="QL190" s="6"/>
      <c r="QM190" s="6"/>
      <c r="QN190" s="6"/>
      <c r="QO190" s="6"/>
      <c r="QP190" s="6"/>
      <c r="QQ190" s="6"/>
      <c r="QR190" s="6"/>
      <c r="QS190" s="6"/>
      <c r="QT190" s="6"/>
      <c r="QU190" s="6"/>
      <c r="QV190" s="6"/>
      <c r="QW190" s="6"/>
      <c r="QX190" s="6"/>
      <c r="QY190" s="6"/>
      <c r="QZ190" s="6"/>
      <c r="RA190" s="6"/>
      <c r="RB190" s="6"/>
      <c r="RC190" s="6"/>
      <c r="RD190" s="6"/>
      <c r="RE190" s="6"/>
      <c r="RF190" s="6"/>
      <c r="RG190" s="6"/>
      <c r="RH190" s="6"/>
      <c r="RI190" s="6"/>
      <c r="RJ190" s="6"/>
      <c r="RK190" s="6"/>
      <c r="RL190" s="6"/>
      <c r="RM190" s="6"/>
      <c r="RN190" s="6"/>
      <c r="RO190" s="6"/>
      <c r="RP190" s="6"/>
      <c r="RQ190" s="6"/>
      <c r="RR190" s="6"/>
      <c r="RS190" s="6"/>
      <c r="RT190" s="6"/>
      <c r="RU190" s="6"/>
      <c r="RV190" s="6"/>
      <c r="RW190" s="6"/>
      <c r="RX190" s="6"/>
      <c r="RY190" s="6"/>
      <c r="RZ190" s="6"/>
      <c r="SA190" s="6"/>
      <c r="SB190" s="6"/>
      <c r="SC190" s="6"/>
      <c r="SD190" s="6"/>
      <c r="SE190" s="6"/>
      <c r="SF190" s="6"/>
      <c r="SG190" s="6"/>
      <c r="SH190" s="6"/>
      <c r="SI190" s="6"/>
      <c r="SJ190" s="6"/>
      <c r="SK190" s="6"/>
      <c r="SL190" s="6"/>
      <c r="SM190" s="6"/>
      <c r="SN190" s="6"/>
      <c r="SO190" s="6"/>
      <c r="SP190" s="6"/>
      <c r="SQ190" s="6"/>
      <c r="SR190" s="6"/>
      <c r="SS190" s="6"/>
      <c r="ST190" s="6"/>
      <c r="SU190" s="6"/>
      <c r="SV190" s="6"/>
      <c r="SW190" s="6"/>
      <c r="SX190" s="6"/>
      <c r="SY190" s="6"/>
      <c r="SZ190" s="6"/>
      <c r="TA190" s="6"/>
      <c r="TB190" s="6"/>
      <c r="TC190" s="6"/>
      <c r="TD190" s="6"/>
      <c r="TE190" s="6"/>
      <c r="TF190" s="6"/>
      <c r="TG190" s="6"/>
      <c r="TH190" s="6"/>
      <c r="TI190" s="6"/>
      <c r="TJ190" s="6"/>
      <c r="TK190" s="6"/>
      <c r="TL190" s="6"/>
      <c r="TM190" s="6"/>
      <c r="TN190" s="6"/>
      <c r="TO190" s="6"/>
      <c r="TP190" s="6"/>
      <c r="TQ190" s="6"/>
      <c r="TR190" s="6"/>
      <c r="TS190" s="6"/>
      <c r="TT190" s="6"/>
      <c r="TU190" s="6"/>
      <c r="TV190" s="6"/>
      <c r="TW190" s="6"/>
      <c r="TX190" s="6"/>
      <c r="TY190" s="6"/>
      <c r="TZ190" s="6"/>
      <c r="UA190" s="6"/>
      <c r="UB190" s="6"/>
      <c r="UC190" s="6"/>
      <c r="UD190" s="6"/>
      <c r="UE190" s="6"/>
      <c r="UF190" s="6"/>
      <c r="UG190" s="6"/>
      <c r="UH190" s="6"/>
      <c r="UI190" s="6"/>
      <c r="UJ190" s="6"/>
      <c r="UK190" s="6"/>
      <c r="UL190" s="6"/>
      <c r="UM190" s="6"/>
      <c r="UN190" s="6"/>
      <c r="UO190" s="6"/>
      <c r="UP190" s="6"/>
      <c r="UQ190" s="6"/>
      <c r="UR190" s="6"/>
      <c r="US190" s="6"/>
      <c r="UT190" s="6"/>
      <c r="UU190" s="6"/>
      <c r="UV190" s="6"/>
      <c r="UW190" s="6"/>
      <c r="UX190" s="6"/>
      <c r="UY190" s="6"/>
      <c r="UZ190" s="6"/>
      <c r="VA190" s="6"/>
      <c r="VB190" s="6"/>
      <c r="VC190" s="6"/>
      <c r="VD190" s="6"/>
      <c r="VE190" s="6"/>
      <c r="VF190" s="6"/>
      <c r="VG190" s="6"/>
      <c r="VH190" s="6"/>
      <c r="VI190" s="6"/>
      <c r="VJ190" s="6"/>
      <c r="VK190" s="6"/>
      <c r="VL190" s="6"/>
      <c r="VM190" s="6"/>
      <c r="VN190" s="6"/>
      <c r="VO190" s="6"/>
      <c r="VP190" s="6"/>
      <c r="VQ190" s="6"/>
      <c r="VR190" s="6"/>
      <c r="VS190" s="6"/>
      <c r="VT190" s="6"/>
      <c r="VU190" s="6"/>
      <c r="VV190" s="6"/>
      <c r="VW190" s="6"/>
      <c r="VX190" s="6"/>
      <c r="VY190" s="6"/>
      <c r="VZ190" s="6"/>
      <c r="WA190" s="6"/>
      <c r="WB190" s="6"/>
      <c r="WC190" s="6"/>
      <c r="WD190" s="6"/>
      <c r="WE190" s="6"/>
      <c r="WF190" s="6"/>
      <c r="WG190" s="6"/>
      <c r="WH190" s="6"/>
      <c r="WI190" s="6"/>
      <c r="WJ190" s="6"/>
      <c r="WK190" s="6"/>
      <c r="WL190" s="6"/>
      <c r="WM190" s="6"/>
      <c r="WN190" s="6"/>
      <c r="WO190" s="6"/>
      <c r="WP190" s="6"/>
      <c r="WQ190" s="6"/>
      <c r="WR190" s="6"/>
      <c r="WS190" s="6"/>
      <c r="WT190" s="6"/>
      <c r="WU190" s="6"/>
      <c r="WV190" s="6"/>
      <c r="WW190" s="6"/>
      <c r="WX190" s="6"/>
      <c r="WY190" s="6"/>
      <c r="WZ190" s="6"/>
      <c r="XA190" s="6"/>
      <c r="XB190" s="6"/>
      <c r="XC190" s="6"/>
      <c r="XD190" s="6"/>
      <c r="XE190" s="6"/>
      <c r="XF190" s="6"/>
      <c r="XG190" s="6"/>
      <c r="XH190" s="6"/>
      <c r="XI190" s="6"/>
      <c r="XJ190" s="6"/>
      <c r="XK190" s="6"/>
      <c r="XL190" s="6"/>
      <c r="XM190" s="6"/>
      <c r="XN190" s="6"/>
      <c r="XO190" s="6"/>
      <c r="XP190" s="6"/>
      <c r="XQ190" s="6"/>
      <c r="XR190" s="6"/>
      <c r="XS190" s="6"/>
      <c r="XT190" s="6"/>
      <c r="XU190" s="6"/>
      <c r="XV190" s="6"/>
      <c r="XW190" s="6"/>
      <c r="XX190" s="6"/>
      <c r="XY190" s="6"/>
      <c r="XZ190" s="6"/>
      <c r="YA190" s="6"/>
      <c r="YB190" s="6"/>
      <c r="YC190" s="6"/>
      <c r="YD190" s="6"/>
      <c r="YE190" s="6"/>
      <c r="YF190" s="6"/>
      <c r="YG190" s="6"/>
      <c r="YH190" s="6"/>
      <c r="YI190" s="6"/>
      <c r="YJ190" s="6"/>
      <c r="YK190" s="6"/>
      <c r="YL190" s="6"/>
      <c r="YM190" s="6"/>
      <c r="YN190" s="6"/>
      <c r="YO190" s="6"/>
      <c r="YP190" s="6"/>
      <c r="YQ190" s="6"/>
      <c r="YR190" s="6"/>
      <c r="YS190" s="6"/>
      <c r="YT190" s="6"/>
      <c r="YU190" s="6"/>
      <c r="YV190" s="6"/>
      <c r="YW190" s="6"/>
      <c r="YX190" s="6"/>
      <c r="YY190" s="6"/>
      <c r="YZ190" s="6"/>
      <c r="ZA190" s="6"/>
      <c r="ZB190" s="6"/>
      <c r="ZC190" s="6"/>
      <c r="ZD190" s="6"/>
      <c r="ZE190" s="6"/>
      <c r="ZF190" s="6"/>
      <c r="ZG190" s="6"/>
      <c r="ZH190" s="6"/>
      <c r="ZI190" s="6"/>
      <c r="ZJ190" s="6"/>
      <c r="ZK190" s="6"/>
      <c r="ZL190" s="6"/>
      <c r="ZM190" s="6"/>
      <c r="ZN190" s="6"/>
      <c r="ZO190" s="6"/>
      <c r="ZP190" s="6"/>
      <c r="ZQ190" s="6"/>
      <c r="ZR190" s="6"/>
      <c r="ZS190" s="6"/>
      <c r="ZT190" s="6"/>
      <c r="ZU190" s="6"/>
      <c r="ZV190" s="6"/>
      <c r="ZW190" s="6"/>
      <c r="ZX190" s="6"/>
      <c r="ZY190" s="6"/>
      <c r="ZZ190" s="6"/>
      <c r="AAA190" s="6"/>
      <c r="AAB190" s="6"/>
      <c r="AAC190" s="6"/>
      <c r="AAD190" s="6"/>
      <c r="AAE190" s="6"/>
      <c r="AAF190" s="6"/>
      <c r="AAG190" s="6"/>
      <c r="AAH190" s="6"/>
      <c r="AAI190" s="6"/>
      <c r="AAJ190" s="6"/>
      <c r="AAK190" s="6"/>
      <c r="AAL190" s="6"/>
      <c r="AAM190" s="6"/>
      <c r="AAN190" s="6"/>
      <c r="AAO190" s="6"/>
      <c r="AAP190" s="6"/>
      <c r="AAQ190" s="6"/>
      <c r="AAR190" s="6"/>
      <c r="AAS190" s="6"/>
      <c r="AAT190" s="6"/>
      <c r="AAU190" s="6"/>
      <c r="AAV190" s="6"/>
      <c r="AAW190" s="6"/>
      <c r="AAX190" s="6"/>
      <c r="AAY190" s="6"/>
      <c r="AAZ190" s="6"/>
      <c r="ABA190" s="6"/>
      <c r="ABB190" s="6"/>
      <c r="ABC190" s="6"/>
      <c r="ABD190" s="6"/>
      <c r="ABE190" s="6"/>
      <c r="ABF190" s="6"/>
      <c r="ABG190" s="6"/>
      <c r="ABH190" s="6"/>
      <c r="ABI190" s="6"/>
      <c r="ABJ190" s="6"/>
      <c r="ABK190" s="6"/>
      <c r="ABL190" s="6"/>
      <c r="ABM190" s="6"/>
      <c r="ABN190" s="6"/>
      <c r="ABO190" s="6"/>
      <c r="ABP190" s="6"/>
      <c r="ABQ190" s="6"/>
      <c r="ABR190" s="6"/>
      <c r="ABS190" s="6"/>
      <c r="ABT190" s="6"/>
      <c r="ABU190" s="6"/>
      <c r="ABV190" s="6"/>
      <c r="ABW190" s="6"/>
      <c r="ABX190" s="6"/>
      <c r="ABY190" s="6"/>
      <c r="ABZ190" s="6"/>
      <c r="ACA190" s="6"/>
      <c r="ACB190" s="6"/>
      <c r="ACC190" s="6"/>
      <c r="ACD190" s="6"/>
      <c r="ACE190" s="6"/>
      <c r="ACF190" s="6"/>
      <c r="ACG190" s="6"/>
      <c r="ACH190" s="6"/>
      <c r="ACI190" s="6"/>
      <c r="ACJ190" s="6"/>
      <c r="ACK190" s="6"/>
      <c r="ACL190" s="6"/>
      <c r="ACM190" s="6"/>
      <c r="ACN190" s="6"/>
      <c r="ACO190" s="6"/>
      <c r="ACP190" s="6"/>
      <c r="ACQ190" s="6"/>
      <c r="ACR190" s="6"/>
      <c r="ACS190" s="6"/>
      <c r="ACT190" s="6"/>
      <c r="ACU190" s="6"/>
      <c r="ACV190" s="6"/>
      <c r="ACW190" s="6"/>
      <c r="ACX190" s="6"/>
      <c r="ACY190" s="6"/>
      <c r="ACZ190" s="6"/>
      <c r="ADA190" s="6"/>
      <c r="ADB190" s="6"/>
      <c r="ADC190" s="6"/>
      <c r="ADD190" s="6"/>
      <c r="ADE190" s="6"/>
      <c r="ADF190" s="6"/>
      <c r="ADG190" s="6"/>
      <c r="ADH190" s="6"/>
      <c r="ADI190" s="6"/>
      <c r="ADJ190" s="6"/>
    </row>
    <row r="191" spans="1:790" s="291" customFormat="1" x14ac:dyDescent="0.3">
      <c r="A191" s="399"/>
      <c r="B191" s="430" t="s">
        <v>166</v>
      </c>
      <c r="C191" s="366"/>
      <c r="D191" s="367"/>
      <c r="E191" s="367"/>
      <c r="F191" s="362"/>
      <c r="G191" s="362"/>
      <c r="H191" s="362"/>
      <c r="I191" s="369"/>
      <c r="J191" s="362"/>
      <c r="K191" s="363"/>
      <c r="L191" s="370"/>
      <c r="M191" s="490"/>
      <c r="N191" s="489" t="str">
        <f t="shared" si="138"/>
        <v/>
      </c>
      <c r="O191" s="308"/>
      <c r="Q191" s="497"/>
      <c r="R191" s="481"/>
      <c r="S191" s="514"/>
      <c r="T191" s="515" t="str">
        <f t="shared" si="143"/>
        <v/>
      </c>
      <c r="U191" s="482" t="str">
        <f t="shared" si="144"/>
        <v/>
      </c>
      <c r="V191" s="514"/>
      <c r="W191" s="515" t="str">
        <f t="shared" si="145"/>
        <v/>
      </c>
      <c r="X191" s="507"/>
      <c r="Y191" s="507"/>
      <c r="Z191" s="478"/>
      <c r="AA191" s="471"/>
      <c r="AB191" s="471"/>
      <c r="AC191" s="471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6"/>
      <c r="KZ191" s="6"/>
      <c r="LA191" s="6"/>
      <c r="LB191" s="6"/>
      <c r="LC191" s="6"/>
      <c r="LD191" s="6"/>
      <c r="LE191" s="6"/>
      <c r="LF191" s="6"/>
      <c r="LG191" s="6"/>
      <c r="LH191" s="6"/>
      <c r="LI191" s="6"/>
      <c r="LJ191" s="6"/>
      <c r="LK191" s="6"/>
      <c r="LL191" s="6"/>
      <c r="LM191" s="6"/>
      <c r="LN191" s="6"/>
      <c r="LO191" s="6"/>
      <c r="LP191" s="6"/>
      <c r="LQ191" s="6"/>
      <c r="LR191" s="6"/>
      <c r="LS191" s="6"/>
      <c r="LT191" s="6"/>
      <c r="LU191" s="6"/>
      <c r="LV191" s="6"/>
      <c r="LW191" s="6"/>
      <c r="LX191" s="6"/>
      <c r="LY191" s="6"/>
      <c r="LZ191" s="6"/>
      <c r="MA191" s="6"/>
      <c r="MB191" s="6"/>
      <c r="MC191" s="6"/>
      <c r="MD191" s="6"/>
      <c r="ME191" s="6"/>
      <c r="MF191" s="6"/>
      <c r="MG191" s="6"/>
      <c r="MH191" s="6"/>
      <c r="MI191" s="6"/>
      <c r="MJ191" s="6"/>
      <c r="MK191" s="6"/>
      <c r="ML191" s="6"/>
      <c r="MM191" s="6"/>
      <c r="MN191" s="6"/>
      <c r="MO191" s="6"/>
      <c r="MP191" s="6"/>
      <c r="MQ191" s="6"/>
      <c r="MR191" s="6"/>
      <c r="MS191" s="6"/>
      <c r="MT191" s="6"/>
      <c r="MU191" s="6"/>
      <c r="MV191" s="6"/>
      <c r="MW191" s="6"/>
      <c r="MX191" s="6"/>
      <c r="MY191" s="6"/>
      <c r="MZ191" s="6"/>
      <c r="NA191" s="6"/>
      <c r="NB191" s="6"/>
      <c r="NC191" s="6"/>
      <c r="ND191" s="6"/>
      <c r="NE191" s="6"/>
      <c r="NF191" s="6"/>
      <c r="NG191" s="6"/>
      <c r="NH191" s="6"/>
      <c r="NI191" s="6"/>
      <c r="NJ191" s="6"/>
      <c r="NK191" s="6"/>
      <c r="NL191" s="6"/>
      <c r="NM191" s="6"/>
      <c r="NN191" s="6"/>
      <c r="NO191" s="6"/>
      <c r="NP191" s="6"/>
      <c r="NQ191" s="6"/>
      <c r="NR191" s="6"/>
      <c r="NS191" s="6"/>
      <c r="NT191" s="6"/>
      <c r="NU191" s="6"/>
      <c r="NV191" s="6"/>
      <c r="NW191" s="6"/>
      <c r="NX191" s="6"/>
      <c r="NY191" s="6"/>
      <c r="NZ191" s="6"/>
      <c r="OA191" s="6"/>
      <c r="OB191" s="6"/>
      <c r="OC191" s="6"/>
      <c r="OD191" s="6"/>
      <c r="OE191" s="6"/>
      <c r="OF191" s="6"/>
      <c r="OG191" s="6"/>
      <c r="OH191" s="6"/>
      <c r="OI191" s="6"/>
      <c r="OJ191" s="6"/>
      <c r="OK191" s="6"/>
      <c r="OL191" s="6"/>
      <c r="OM191" s="6"/>
      <c r="ON191" s="6"/>
      <c r="OO191" s="6"/>
      <c r="OP191" s="6"/>
      <c r="OQ191" s="6"/>
      <c r="OR191" s="6"/>
      <c r="OS191" s="6"/>
      <c r="OT191" s="6"/>
      <c r="OU191" s="6"/>
      <c r="OV191" s="6"/>
      <c r="OW191" s="6"/>
      <c r="OX191" s="6"/>
      <c r="OY191" s="6"/>
      <c r="OZ191" s="6"/>
      <c r="PA191" s="6"/>
      <c r="PB191" s="6"/>
      <c r="PC191" s="6"/>
      <c r="PD191" s="6"/>
      <c r="PE191" s="6"/>
      <c r="PF191" s="6"/>
      <c r="PG191" s="6"/>
      <c r="PH191" s="6"/>
      <c r="PI191" s="6"/>
      <c r="PJ191" s="6"/>
      <c r="PK191" s="6"/>
      <c r="PL191" s="6"/>
      <c r="PM191" s="6"/>
      <c r="PN191" s="6"/>
      <c r="PO191" s="6"/>
      <c r="PP191" s="6"/>
      <c r="PQ191" s="6"/>
      <c r="PR191" s="6"/>
      <c r="PS191" s="6"/>
      <c r="PT191" s="6"/>
      <c r="PU191" s="6"/>
      <c r="PV191" s="6"/>
      <c r="PW191" s="6"/>
      <c r="PX191" s="6"/>
      <c r="PY191" s="6"/>
      <c r="PZ191" s="6"/>
      <c r="QA191" s="6"/>
      <c r="QB191" s="6"/>
      <c r="QC191" s="6"/>
      <c r="QD191" s="6"/>
      <c r="QE191" s="6"/>
      <c r="QF191" s="6"/>
      <c r="QG191" s="6"/>
      <c r="QH191" s="6"/>
      <c r="QI191" s="6"/>
      <c r="QJ191" s="6"/>
      <c r="QK191" s="6"/>
      <c r="QL191" s="6"/>
      <c r="QM191" s="6"/>
      <c r="QN191" s="6"/>
      <c r="QO191" s="6"/>
      <c r="QP191" s="6"/>
      <c r="QQ191" s="6"/>
      <c r="QR191" s="6"/>
      <c r="QS191" s="6"/>
      <c r="QT191" s="6"/>
      <c r="QU191" s="6"/>
      <c r="QV191" s="6"/>
      <c r="QW191" s="6"/>
      <c r="QX191" s="6"/>
      <c r="QY191" s="6"/>
      <c r="QZ191" s="6"/>
      <c r="RA191" s="6"/>
      <c r="RB191" s="6"/>
      <c r="RC191" s="6"/>
      <c r="RD191" s="6"/>
      <c r="RE191" s="6"/>
      <c r="RF191" s="6"/>
      <c r="RG191" s="6"/>
      <c r="RH191" s="6"/>
      <c r="RI191" s="6"/>
      <c r="RJ191" s="6"/>
      <c r="RK191" s="6"/>
      <c r="RL191" s="6"/>
      <c r="RM191" s="6"/>
      <c r="RN191" s="6"/>
      <c r="RO191" s="6"/>
      <c r="RP191" s="6"/>
      <c r="RQ191" s="6"/>
      <c r="RR191" s="6"/>
      <c r="RS191" s="6"/>
      <c r="RT191" s="6"/>
      <c r="RU191" s="6"/>
      <c r="RV191" s="6"/>
      <c r="RW191" s="6"/>
      <c r="RX191" s="6"/>
      <c r="RY191" s="6"/>
      <c r="RZ191" s="6"/>
      <c r="SA191" s="6"/>
      <c r="SB191" s="6"/>
      <c r="SC191" s="6"/>
      <c r="SD191" s="6"/>
      <c r="SE191" s="6"/>
      <c r="SF191" s="6"/>
      <c r="SG191" s="6"/>
      <c r="SH191" s="6"/>
      <c r="SI191" s="6"/>
      <c r="SJ191" s="6"/>
      <c r="SK191" s="6"/>
      <c r="SL191" s="6"/>
      <c r="SM191" s="6"/>
      <c r="SN191" s="6"/>
      <c r="SO191" s="6"/>
      <c r="SP191" s="6"/>
      <c r="SQ191" s="6"/>
      <c r="SR191" s="6"/>
      <c r="SS191" s="6"/>
      <c r="ST191" s="6"/>
      <c r="SU191" s="6"/>
      <c r="SV191" s="6"/>
      <c r="SW191" s="6"/>
      <c r="SX191" s="6"/>
      <c r="SY191" s="6"/>
      <c r="SZ191" s="6"/>
      <c r="TA191" s="6"/>
      <c r="TB191" s="6"/>
      <c r="TC191" s="6"/>
      <c r="TD191" s="6"/>
      <c r="TE191" s="6"/>
      <c r="TF191" s="6"/>
      <c r="TG191" s="6"/>
      <c r="TH191" s="6"/>
      <c r="TI191" s="6"/>
      <c r="TJ191" s="6"/>
      <c r="TK191" s="6"/>
      <c r="TL191" s="6"/>
      <c r="TM191" s="6"/>
      <c r="TN191" s="6"/>
      <c r="TO191" s="6"/>
      <c r="TP191" s="6"/>
      <c r="TQ191" s="6"/>
      <c r="TR191" s="6"/>
      <c r="TS191" s="6"/>
      <c r="TT191" s="6"/>
      <c r="TU191" s="6"/>
      <c r="TV191" s="6"/>
      <c r="TW191" s="6"/>
      <c r="TX191" s="6"/>
      <c r="TY191" s="6"/>
      <c r="TZ191" s="6"/>
      <c r="UA191" s="6"/>
      <c r="UB191" s="6"/>
      <c r="UC191" s="6"/>
      <c r="UD191" s="6"/>
      <c r="UE191" s="6"/>
      <c r="UF191" s="6"/>
      <c r="UG191" s="6"/>
      <c r="UH191" s="6"/>
      <c r="UI191" s="6"/>
      <c r="UJ191" s="6"/>
      <c r="UK191" s="6"/>
      <c r="UL191" s="6"/>
      <c r="UM191" s="6"/>
      <c r="UN191" s="6"/>
      <c r="UO191" s="6"/>
      <c r="UP191" s="6"/>
      <c r="UQ191" s="6"/>
      <c r="UR191" s="6"/>
      <c r="US191" s="6"/>
      <c r="UT191" s="6"/>
      <c r="UU191" s="6"/>
      <c r="UV191" s="6"/>
      <c r="UW191" s="6"/>
      <c r="UX191" s="6"/>
      <c r="UY191" s="6"/>
      <c r="UZ191" s="6"/>
      <c r="VA191" s="6"/>
      <c r="VB191" s="6"/>
      <c r="VC191" s="6"/>
      <c r="VD191" s="6"/>
      <c r="VE191" s="6"/>
      <c r="VF191" s="6"/>
      <c r="VG191" s="6"/>
      <c r="VH191" s="6"/>
      <c r="VI191" s="6"/>
      <c r="VJ191" s="6"/>
      <c r="VK191" s="6"/>
      <c r="VL191" s="6"/>
      <c r="VM191" s="6"/>
      <c r="VN191" s="6"/>
      <c r="VO191" s="6"/>
      <c r="VP191" s="6"/>
      <c r="VQ191" s="6"/>
      <c r="VR191" s="6"/>
      <c r="VS191" s="6"/>
      <c r="VT191" s="6"/>
      <c r="VU191" s="6"/>
      <c r="VV191" s="6"/>
      <c r="VW191" s="6"/>
      <c r="VX191" s="6"/>
      <c r="VY191" s="6"/>
      <c r="VZ191" s="6"/>
      <c r="WA191" s="6"/>
      <c r="WB191" s="6"/>
      <c r="WC191" s="6"/>
      <c r="WD191" s="6"/>
      <c r="WE191" s="6"/>
      <c r="WF191" s="6"/>
      <c r="WG191" s="6"/>
      <c r="WH191" s="6"/>
      <c r="WI191" s="6"/>
      <c r="WJ191" s="6"/>
      <c r="WK191" s="6"/>
      <c r="WL191" s="6"/>
      <c r="WM191" s="6"/>
      <c r="WN191" s="6"/>
      <c r="WO191" s="6"/>
      <c r="WP191" s="6"/>
      <c r="WQ191" s="6"/>
      <c r="WR191" s="6"/>
      <c r="WS191" s="6"/>
      <c r="WT191" s="6"/>
      <c r="WU191" s="6"/>
      <c r="WV191" s="6"/>
      <c r="WW191" s="6"/>
      <c r="WX191" s="6"/>
      <c r="WY191" s="6"/>
      <c r="WZ191" s="6"/>
      <c r="XA191" s="6"/>
      <c r="XB191" s="6"/>
      <c r="XC191" s="6"/>
      <c r="XD191" s="6"/>
      <c r="XE191" s="6"/>
      <c r="XF191" s="6"/>
      <c r="XG191" s="6"/>
      <c r="XH191" s="6"/>
      <c r="XI191" s="6"/>
      <c r="XJ191" s="6"/>
      <c r="XK191" s="6"/>
      <c r="XL191" s="6"/>
      <c r="XM191" s="6"/>
      <c r="XN191" s="6"/>
      <c r="XO191" s="6"/>
      <c r="XP191" s="6"/>
      <c r="XQ191" s="6"/>
      <c r="XR191" s="6"/>
      <c r="XS191" s="6"/>
      <c r="XT191" s="6"/>
      <c r="XU191" s="6"/>
      <c r="XV191" s="6"/>
      <c r="XW191" s="6"/>
      <c r="XX191" s="6"/>
      <c r="XY191" s="6"/>
      <c r="XZ191" s="6"/>
      <c r="YA191" s="6"/>
      <c r="YB191" s="6"/>
      <c r="YC191" s="6"/>
      <c r="YD191" s="6"/>
      <c r="YE191" s="6"/>
      <c r="YF191" s="6"/>
      <c r="YG191" s="6"/>
      <c r="YH191" s="6"/>
      <c r="YI191" s="6"/>
      <c r="YJ191" s="6"/>
      <c r="YK191" s="6"/>
      <c r="YL191" s="6"/>
      <c r="YM191" s="6"/>
      <c r="YN191" s="6"/>
      <c r="YO191" s="6"/>
      <c r="YP191" s="6"/>
      <c r="YQ191" s="6"/>
      <c r="YR191" s="6"/>
      <c r="YS191" s="6"/>
      <c r="YT191" s="6"/>
      <c r="YU191" s="6"/>
      <c r="YV191" s="6"/>
      <c r="YW191" s="6"/>
      <c r="YX191" s="6"/>
      <c r="YY191" s="6"/>
      <c r="YZ191" s="6"/>
      <c r="ZA191" s="6"/>
      <c r="ZB191" s="6"/>
      <c r="ZC191" s="6"/>
      <c r="ZD191" s="6"/>
      <c r="ZE191" s="6"/>
      <c r="ZF191" s="6"/>
      <c r="ZG191" s="6"/>
      <c r="ZH191" s="6"/>
      <c r="ZI191" s="6"/>
      <c r="ZJ191" s="6"/>
      <c r="ZK191" s="6"/>
      <c r="ZL191" s="6"/>
      <c r="ZM191" s="6"/>
      <c r="ZN191" s="6"/>
      <c r="ZO191" s="6"/>
      <c r="ZP191" s="6"/>
      <c r="ZQ191" s="6"/>
      <c r="ZR191" s="6"/>
      <c r="ZS191" s="6"/>
      <c r="ZT191" s="6"/>
      <c r="ZU191" s="6"/>
      <c r="ZV191" s="6"/>
      <c r="ZW191" s="6"/>
      <c r="ZX191" s="6"/>
      <c r="ZY191" s="6"/>
      <c r="ZZ191" s="6"/>
      <c r="AAA191" s="6"/>
      <c r="AAB191" s="6"/>
      <c r="AAC191" s="6"/>
      <c r="AAD191" s="6"/>
      <c r="AAE191" s="6"/>
      <c r="AAF191" s="6"/>
      <c r="AAG191" s="6"/>
      <c r="AAH191" s="6"/>
      <c r="AAI191" s="6"/>
      <c r="AAJ191" s="6"/>
      <c r="AAK191" s="6"/>
      <c r="AAL191" s="6"/>
      <c r="AAM191" s="6"/>
      <c r="AAN191" s="6"/>
      <c r="AAO191" s="6"/>
      <c r="AAP191" s="6"/>
      <c r="AAQ191" s="6"/>
      <c r="AAR191" s="6"/>
      <c r="AAS191" s="6"/>
      <c r="AAT191" s="6"/>
      <c r="AAU191" s="6"/>
      <c r="AAV191" s="6"/>
      <c r="AAW191" s="6"/>
      <c r="AAX191" s="6"/>
      <c r="AAY191" s="6"/>
      <c r="AAZ191" s="6"/>
      <c r="ABA191" s="6"/>
      <c r="ABB191" s="6"/>
      <c r="ABC191" s="6"/>
      <c r="ABD191" s="6"/>
      <c r="ABE191" s="6"/>
      <c r="ABF191" s="6"/>
      <c r="ABG191" s="6"/>
      <c r="ABH191" s="6"/>
      <c r="ABI191" s="6"/>
      <c r="ABJ191" s="6"/>
      <c r="ABK191" s="6"/>
      <c r="ABL191" s="6"/>
      <c r="ABM191" s="6"/>
      <c r="ABN191" s="6"/>
      <c r="ABO191" s="6"/>
      <c r="ABP191" s="6"/>
      <c r="ABQ191" s="6"/>
      <c r="ABR191" s="6"/>
      <c r="ABS191" s="6"/>
      <c r="ABT191" s="6"/>
      <c r="ABU191" s="6"/>
      <c r="ABV191" s="6"/>
      <c r="ABW191" s="6"/>
      <c r="ABX191" s="6"/>
      <c r="ABY191" s="6"/>
      <c r="ABZ191" s="6"/>
      <c r="ACA191" s="6"/>
      <c r="ACB191" s="6"/>
      <c r="ACC191" s="6"/>
      <c r="ACD191" s="6"/>
      <c r="ACE191" s="6"/>
      <c r="ACF191" s="6"/>
      <c r="ACG191" s="6"/>
      <c r="ACH191" s="6"/>
      <c r="ACI191" s="6"/>
      <c r="ACJ191" s="6"/>
      <c r="ACK191" s="6"/>
      <c r="ACL191" s="6"/>
      <c r="ACM191" s="6"/>
      <c r="ACN191" s="6"/>
      <c r="ACO191" s="6"/>
      <c r="ACP191" s="6"/>
      <c r="ACQ191" s="6"/>
      <c r="ACR191" s="6"/>
      <c r="ACS191" s="6"/>
      <c r="ACT191" s="6"/>
      <c r="ACU191" s="6"/>
      <c r="ACV191" s="6"/>
      <c r="ACW191" s="6"/>
      <c r="ACX191" s="6"/>
      <c r="ACY191" s="6"/>
      <c r="ACZ191" s="6"/>
      <c r="ADA191" s="6"/>
      <c r="ADB191" s="6"/>
      <c r="ADC191" s="6"/>
      <c r="ADD191" s="6"/>
      <c r="ADE191" s="6"/>
      <c r="ADF191" s="6"/>
      <c r="ADG191" s="6"/>
      <c r="ADH191" s="6"/>
      <c r="ADI191" s="6"/>
      <c r="ADJ191" s="6"/>
    </row>
    <row r="192" spans="1:790" s="291" customFormat="1" x14ac:dyDescent="0.3">
      <c r="A192" s="399"/>
      <c r="B192" s="571" t="s">
        <v>146</v>
      </c>
      <c r="C192" s="366"/>
      <c r="D192" s="367"/>
      <c r="E192" s="367"/>
      <c r="F192" s="362"/>
      <c r="G192" s="362"/>
      <c r="H192" s="362">
        <f>SUM(J173:J175)</f>
        <v>769.20691000000022</v>
      </c>
      <c r="I192" s="369" t="s">
        <v>22</v>
      </c>
      <c r="J192" s="362"/>
      <c r="K192" s="363"/>
      <c r="L192" s="370"/>
      <c r="M192" s="490"/>
      <c r="N192" s="489" t="str">
        <f t="shared" si="138"/>
        <v/>
      </c>
      <c r="O192" s="308"/>
      <c r="Q192" s="497"/>
      <c r="R192" s="481"/>
      <c r="S192" s="514"/>
      <c r="T192" s="515" t="str">
        <f t="shared" si="143"/>
        <v/>
      </c>
      <c r="U192" s="482" t="str">
        <f t="shared" si="144"/>
        <v/>
      </c>
      <c r="V192" s="514"/>
      <c r="W192" s="515" t="str">
        <f t="shared" si="145"/>
        <v/>
      </c>
      <c r="X192" s="507"/>
      <c r="Y192" s="507"/>
      <c r="Z192" s="478"/>
      <c r="AA192" s="471"/>
      <c r="AB192" s="471"/>
      <c r="AC192" s="471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6"/>
      <c r="KZ192" s="6"/>
      <c r="LA192" s="6"/>
      <c r="LB192" s="6"/>
      <c r="LC192" s="6"/>
      <c r="LD192" s="6"/>
      <c r="LE192" s="6"/>
      <c r="LF192" s="6"/>
      <c r="LG192" s="6"/>
      <c r="LH192" s="6"/>
      <c r="LI192" s="6"/>
      <c r="LJ192" s="6"/>
      <c r="LK192" s="6"/>
      <c r="LL192" s="6"/>
      <c r="LM192" s="6"/>
      <c r="LN192" s="6"/>
      <c r="LO192" s="6"/>
      <c r="LP192" s="6"/>
      <c r="LQ192" s="6"/>
      <c r="LR192" s="6"/>
      <c r="LS192" s="6"/>
      <c r="LT192" s="6"/>
      <c r="LU192" s="6"/>
      <c r="LV192" s="6"/>
      <c r="LW192" s="6"/>
      <c r="LX192" s="6"/>
      <c r="LY192" s="6"/>
      <c r="LZ192" s="6"/>
      <c r="MA192" s="6"/>
      <c r="MB192" s="6"/>
      <c r="MC192" s="6"/>
      <c r="MD192" s="6"/>
      <c r="ME192" s="6"/>
      <c r="MF192" s="6"/>
      <c r="MG192" s="6"/>
      <c r="MH192" s="6"/>
      <c r="MI192" s="6"/>
      <c r="MJ192" s="6"/>
      <c r="MK192" s="6"/>
      <c r="ML192" s="6"/>
      <c r="MM192" s="6"/>
      <c r="MN192" s="6"/>
      <c r="MO192" s="6"/>
      <c r="MP192" s="6"/>
      <c r="MQ192" s="6"/>
      <c r="MR192" s="6"/>
      <c r="MS192" s="6"/>
      <c r="MT192" s="6"/>
      <c r="MU192" s="6"/>
      <c r="MV192" s="6"/>
      <c r="MW192" s="6"/>
      <c r="MX192" s="6"/>
      <c r="MY192" s="6"/>
      <c r="MZ192" s="6"/>
      <c r="NA192" s="6"/>
      <c r="NB192" s="6"/>
      <c r="NC192" s="6"/>
      <c r="ND192" s="6"/>
      <c r="NE192" s="6"/>
      <c r="NF192" s="6"/>
      <c r="NG192" s="6"/>
      <c r="NH192" s="6"/>
      <c r="NI192" s="6"/>
      <c r="NJ192" s="6"/>
      <c r="NK192" s="6"/>
      <c r="NL192" s="6"/>
      <c r="NM192" s="6"/>
      <c r="NN192" s="6"/>
      <c r="NO192" s="6"/>
      <c r="NP192" s="6"/>
      <c r="NQ192" s="6"/>
      <c r="NR192" s="6"/>
      <c r="NS192" s="6"/>
      <c r="NT192" s="6"/>
      <c r="NU192" s="6"/>
      <c r="NV192" s="6"/>
      <c r="NW192" s="6"/>
      <c r="NX192" s="6"/>
      <c r="NY192" s="6"/>
      <c r="NZ192" s="6"/>
      <c r="OA192" s="6"/>
      <c r="OB192" s="6"/>
      <c r="OC192" s="6"/>
      <c r="OD192" s="6"/>
      <c r="OE192" s="6"/>
      <c r="OF192" s="6"/>
      <c r="OG192" s="6"/>
      <c r="OH192" s="6"/>
      <c r="OI192" s="6"/>
      <c r="OJ192" s="6"/>
      <c r="OK192" s="6"/>
      <c r="OL192" s="6"/>
      <c r="OM192" s="6"/>
      <c r="ON192" s="6"/>
      <c r="OO192" s="6"/>
      <c r="OP192" s="6"/>
      <c r="OQ192" s="6"/>
      <c r="OR192" s="6"/>
      <c r="OS192" s="6"/>
      <c r="OT192" s="6"/>
      <c r="OU192" s="6"/>
      <c r="OV192" s="6"/>
      <c r="OW192" s="6"/>
      <c r="OX192" s="6"/>
      <c r="OY192" s="6"/>
      <c r="OZ192" s="6"/>
      <c r="PA192" s="6"/>
      <c r="PB192" s="6"/>
      <c r="PC192" s="6"/>
      <c r="PD192" s="6"/>
      <c r="PE192" s="6"/>
      <c r="PF192" s="6"/>
      <c r="PG192" s="6"/>
      <c r="PH192" s="6"/>
      <c r="PI192" s="6"/>
      <c r="PJ192" s="6"/>
      <c r="PK192" s="6"/>
      <c r="PL192" s="6"/>
      <c r="PM192" s="6"/>
      <c r="PN192" s="6"/>
      <c r="PO192" s="6"/>
      <c r="PP192" s="6"/>
      <c r="PQ192" s="6"/>
      <c r="PR192" s="6"/>
      <c r="PS192" s="6"/>
      <c r="PT192" s="6"/>
      <c r="PU192" s="6"/>
      <c r="PV192" s="6"/>
      <c r="PW192" s="6"/>
      <c r="PX192" s="6"/>
      <c r="PY192" s="6"/>
      <c r="PZ192" s="6"/>
      <c r="QA192" s="6"/>
      <c r="QB192" s="6"/>
      <c r="QC192" s="6"/>
      <c r="QD192" s="6"/>
      <c r="QE192" s="6"/>
      <c r="QF192" s="6"/>
      <c r="QG192" s="6"/>
      <c r="QH192" s="6"/>
      <c r="QI192" s="6"/>
      <c r="QJ192" s="6"/>
      <c r="QK192" s="6"/>
      <c r="QL192" s="6"/>
      <c r="QM192" s="6"/>
      <c r="QN192" s="6"/>
      <c r="QO192" s="6"/>
      <c r="QP192" s="6"/>
      <c r="QQ192" s="6"/>
      <c r="QR192" s="6"/>
      <c r="QS192" s="6"/>
      <c r="QT192" s="6"/>
      <c r="QU192" s="6"/>
      <c r="QV192" s="6"/>
      <c r="QW192" s="6"/>
      <c r="QX192" s="6"/>
      <c r="QY192" s="6"/>
      <c r="QZ192" s="6"/>
      <c r="RA192" s="6"/>
      <c r="RB192" s="6"/>
      <c r="RC192" s="6"/>
      <c r="RD192" s="6"/>
      <c r="RE192" s="6"/>
      <c r="RF192" s="6"/>
      <c r="RG192" s="6"/>
      <c r="RH192" s="6"/>
      <c r="RI192" s="6"/>
      <c r="RJ192" s="6"/>
      <c r="RK192" s="6"/>
      <c r="RL192" s="6"/>
      <c r="RM192" s="6"/>
      <c r="RN192" s="6"/>
      <c r="RO192" s="6"/>
      <c r="RP192" s="6"/>
      <c r="RQ192" s="6"/>
      <c r="RR192" s="6"/>
      <c r="RS192" s="6"/>
      <c r="RT192" s="6"/>
      <c r="RU192" s="6"/>
      <c r="RV192" s="6"/>
      <c r="RW192" s="6"/>
      <c r="RX192" s="6"/>
      <c r="RY192" s="6"/>
      <c r="RZ192" s="6"/>
      <c r="SA192" s="6"/>
      <c r="SB192" s="6"/>
      <c r="SC192" s="6"/>
      <c r="SD192" s="6"/>
      <c r="SE192" s="6"/>
      <c r="SF192" s="6"/>
      <c r="SG192" s="6"/>
      <c r="SH192" s="6"/>
      <c r="SI192" s="6"/>
      <c r="SJ192" s="6"/>
      <c r="SK192" s="6"/>
      <c r="SL192" s="6"/>
      <c r="SM192" s="6"/>
      <c r="SN192" s="6"/>
      <c r="SO192" s="6"/>
      <c r="SP192" s="6"/>
      <c r="SQ192" s="6"/>
      <c r="SR192" s="6"/>
      <c r="SS192" s="6"/>
      <c r="ST192" s="6"/>
      <c r="SU192" s="6"/>
      <c r="SV192" s="6"/>
      <c r="SW192" s="6"/>
      <c r="SX192" s="6"/>
      <c r="SY192" s="6"/>
      <c r="SZ192" s="6"/>
      <c r="TA192" s="6"/>
      <c r="TB192" s="6"/>
      <c r="TC192" s="6"/>
      <c r="TD192" s="6"/>
      <c r="TE192" s="6"/>
      <c r="TF192" s="6"/>
      <c r="TG192" s="6"/>
      <c r="TH192" s="6"/>
      <c r="TI192" s="6"/>
      <c r="TJ192" s="6"/>
      <c r="TK192" s="6"/>
      <c r="TL192" s="6"/>
      <c r="TM192" s="6"/>
      <c r="TN192" s="6"/>
      <c r="TO192" s="6"/>
      <c r="TP192" s="6"/>
      <c r="TQ192" s="6"/>
      <c r="TR192" s="6"/>
      <c r="TS192" s="6"/>
      <c r="TT192" s="6"/>
      <c r="TU192" s="6"/>
      <c r="TV192" s="6"/>
      <c r="TW192" s="6"/>
      <c r="TX192" s="6"/>
      <c r="TY192" s="6"/>
      <c r="TZ192" s="6"/>
      <c r="UA192" s="6"/>
      <c r="UB192" s="6"/>
      <c r="UC192" s="6"/>
      <c r="UD192" s="6"/>
      <c r="UE192" s="6"/>
      <c r="UF192" s="6"/>
      <c r="UG192" s="6"/>
      <c r="UH192" s="6"/>
      <c r="UI192" s="6"/>
      <c r="UJ192" s="6"/>
      <c r="UK192" s="6"/>
      <c r="UL192" s="6"/>
      <c r="UM192" s="6"/>
      <c r="UN192" s="6"/>
      <c r="UO192" s="6"/>
      <c r="UP192" s="6"/>
      <c r="UQ192" s="6"/>
      <c r="UR192" s="6"/>
      <c r="US192" s="6"/>
      <c r="UT192" s="6"/>
      <c r="UU192" s="6"/>
      <c r="UV192" s="6"/>
      <c r="UW192" s="6"/>
      <c r="UX192" s="6"/>
      <c r="UY192" s="6"/>
      <c r="UZ192" s="6"/>
      <c r="VA192" s="6"/>
      <c r="VB192" s="6"/>
      <c r="VC192" s="6"/>
      <c r="VD192" s="6"/>
      <c r="VE192" s="6"/>
      <c r="VF192" s="6"/>
      <c r="VG192" s="6"/>
      <c r="VH192" s="6"/>
      <c r="VI192" s="6"/>
      <c r="VJ192" s="6"/>
      <c r="VK192" s="6"/>
      <c r="VL192" s="6"/>
      <c r="VM192" s="6"/>
      <c r="VN192" s="6"/>
      <c r="VO192" s="6"/>
      <c r="VP192" s="6"/>
      <c r="VQ192" s="6"/>
      <c r="VR192" s="6"/>
      <c r="VS192" s="6"/>
      <c r="VT192" s="6"/>
      <c r="VU192" s="6"/>
      <c r="VV192" s="6"/>
      <c r="VW192" s="6"/>
      <c r="VX192" s="6"/>
      <c r="VY192" s="6"/>
      <c r="VZ192" s="6"/>
      <c r="WA192" s="6"/>
      <c r="WB192" s="6"/>
      <c r="WC192" s="6"/>
      <c r="WD192" s="6"/>
      <c r="WE192" s="6"/>
      <c r="WF192" s="6"/>
      <c r="WG192" s="6"/>
      <c r="WH192" s="6"/>
      <c r="WI192" s="6"/>
      <c r="WJ192" s="6"/>
      <c r="WK192" s="6"/>
      <c r="WL192" s="6"/>
      <c r="WM192" s="6"/>
      <c r="WN192" s="6"/>
      <c r="WO192" s="6"/>
      <c r="WP192" s="6"/>
      <c r="WQ192" s="6"/>
      <c r="WR192" s="6"/>
      <c r="WS192" s="6"/>
      <c r="WT192" s="6"/>
      <c r="WU192" s="6"/>
      <c r="WV192" s="6"/>
      <c r="WW192" s="6"/>
      <c r="WX192" s="6"/>
      <c r="WY192" s="6"/>
      <c r="WZ192" s="6"/>
      <c r="XA192" s="6"/>
      <c r="XB192" s="6"/>
      <c r="XC192" s="6"/>
      <c r="XD192" s="6"/>
      <c r="XE192" s="6"/>
      <c r="XF192" s="6"/>
      <c r="XG192" s="6"/>
      <c r="XH192" s="6"/>
      <c r="XI192" s="6"/>
      <c r="XJ192" s="6"/>
      <c r="XK192" s="6"/>
      <c r="XL192" s="6"/>
      <c r="XM192" s="6"/>
      <c r="XN192" s="6"/>
      <c r="XO192" s="6"/>
      <c r="XP192" s="6"/>
      <c r="XQ192" s="6"/>
      <c r="XR192" s="6"/>
      <c r="XS192" s="6"/>
      <c r="XT192" s="6"/>
      <c r="XU192" s="6"/>
      <c r="XV192" s="6"/>
      <c r="XW192" s="6"/>
      <c r="XX192" s="6"/>
      <c r="XY192" s="6"/>
      <c r="XZ192" s="6"/>
      <c r="YA192" s="6"/>
      <c r="YB192" s="6"/>
      <c r="YC192" s="6"/>
      <c r="YD192" s="6"/>
      <c r="YE192" s="6"/>
      <c r="YF192" s="6"/>
      <c r="YG192" s="6"/>
      <c r="YH192" s="6"/>
      <c r="YI192" s="6"/>
      <c r="YJ192" s="6"/>
      <c r="YK192" s="6"/>
      <c r="YL192" s="6"/>
      <c r="YM192" s="6"/>
      <c r="YN192" s="6"/>
      <c r="YO192" s="6"/>
      <c r="YP192" s="6"/>
      <c r="YQ192" s="6"/>
      <c r="YR192" s="6"/>
      <c r="YS192" s="6"/>
      <c r="YT192" s="6"/>
      <c r="YU192" s="6"/>
      <c r="YV192" s="6"/>
      <c r="YW192" s="6"/>
      <c r="YX192" s="6"/>
      <c r="YY192" s="6"/>
      <c r="YZ192" s="6"/>
      <c r="ZA192" s="6"/>
      <c r="ZB192" s="6"/>
      <c r="ZC192" s="6"/>
      <c r="ZD192" s="6"/>
      <c r="ZE192" s="6"/>
      <c r="ZF192" s="6"/>
      <c r="ZG192" s="6"/>
      <c r="ZH192" s="6"/>
      <c r="ZI192" s="6"/>
      <c r="ZJ192" s="6"/>
      <c r="ZK192" s="6"/>
      <c r="ZL192" s="6"/>
      <c r="ZM192" s="6"/>
      <c r="ZN192" s="6"/>
      <c r="ZO192" s="6"/>
      <c r="ZP192" s="6"/>
      <c r="ZQ192" s="6"/>
      <c r="ZR192" s="6"/>
      <c r="ZS192" s="6"/>
      <c r="ZT192" s="6"/>
      <c r="ZU192" s="6"/>
      <c r="ZV192" s="6"/>
      <c r="ZW192" s="6"/>
      <c r="ZX192" s="6"/>
      <c r="ZY192" s="6"/>
      <c r="ZZ192" s="6"/>
      <c r="AAA192" s="6"/>
      <c r="AAB192" s="6"/>
      <c r="AAC192" s="6"/>
      <c r="AAD192" s="6"/>
      <c r="AAE192" s="6"/>
      <c r="AAF192" s="6"/>
      <c r="AAG192" s="6"/>
      <c r="AAH192" s="6"/>
      <c r="AAI192" s="6"/>
      <c r="AAJ192" s="6"/>
      <c r="AAK192" s="6"/>
      <c r="AAL192" s="6"/>
      <c r="AAM192" s="6"/>
      <c r="AAN192" s="6"/>
      <c r="AAO192" s="6"/>
      <c r="AAP192" s="6"/>
      <c r="AAQ192" s="6"/>
      <c r="AAR192" s="6"/>
      <c r="AAS192" s="6"/>
      <c r="AAT192" s="6"/>
      <c r="AAU192" s="6"/>
      <c r="AAV192" s="6"/>
      <c r="AAW192" s="6"/>
      <c r="AAX192" s="6"/>
      <c r="AAY192" s="6"/>
      <c r="AAZ192" s="6"/>
      <c r="ABA192" s="6"/>
      <c r="ABB192" s="6"/>
      <c r="ABC192" s="6"/>
      <c r="ABD192" s="6"/>
      <c r="ABE192" s="6"/>
      <c r="ABF192" s="6"/>
      <c r="ABG192" s="6"/>
      <c r="ABH192" s="6"/>
      <c r="ABI192" s="6"/>
      <c r="ABJ192" s="6"/>
      <c r="ABK192" s="6"/>
      <c r="ABL192" s="6"/>
      <c r="ABM192" s="6"/>
      <c r="ABN192" s="6"/>
      <c r="ABO192" s="6"/>
      <c r="ABP192" s="6"/>
      <c r="ABQ192" s="6"/>
      <c r="ABR192" s="6"/>
      <c r="ABS192" s="6"/>
      <c r="ABT192" s="6"/>
      <c r="ABU192" s="6"/>
      <c r="ABV192" s="6"/>
      <c r="ABW192" s="6"/>
      <c r="ABX192" s="6"/>
      <c r="ABY192" s="6"/>
      <c r="ABZ192" s="6"/>
      <c r="ACA192" s="6"/>
      <c r="ACB192" s="6"/>
      <c r="ACC192" s="6"/>
      <c r="ACD192" s="6"/>
      <c r="ACE192" s="6"/>
      <c r="ACF192" s="6"/>
      <c r="ACG192" s="6"/>
      <c r="ACH192" s="6"/>
      <c r="ACI192" s="6"/>
      <c r="ACJ192" s="6"/>
      <c r="ACK192" s="6"/>
      <c r="ACL192" s="6"/>
      <c r="ACM192" s="6"/>
      <c r="ACN192" s="6"/>
      <c r="ACO192" s="6"/>
      <c r="ACP192" s="6"/>
      <c r="ACQ192" s="6"/>
      <c r="ACR192" s="6"/>
      <c r="ACS192" s="6"/>
      <c r="ACT192" s="6"/>
      <c r="ACU192" s="6"/>
      <c r="ACV192" s="6"/>
      <c r="ACW192" s="6"/>
      <c r="ACX192" s="6"/>
      <c r="ACY192" s="6"/>
      <c r="ACZ192" s="6"/>
      <c r="ADA192" s="6"/>
      <c r="ADB192" s="6"/>
      <c r="ADC192" s="6"/>
      <c r="ADD192" s="6"/>
      <c r="ADE192" s="6"/>
      <c r="ADF192" s="6"/>
      <c r="ADG192" s="6"/>
      <c r="ADH192" s="6"/>
      <c r="ADI192" s="6"/>
      <c r="ADJ192" s="6"/>
    </row>
    <row r="193" spans="1:790" s="291" customFormat="1" x14ac:dyDescent="0.3">
      <c r="A193" s="399"/>
      <c r="B193" s="574" t="s">
        <v>148</v>
      </c>
      <c r="C193" s="434"/>
      <c r="D193" s="435"/>
      <c r="E193" s="435"/>
      <c r="F193" s="436"/>
      <c r="G193" s="436"/>
      <c r="H193" s="436">
        <f>SUM(J178:J180)</f>
        <v>3.6147000000000005</v>
      </c>
      <c r="I193" s="437" t="s">
        <v>22</v>
      </c>
      <c r="J193" s="362"/>
      <c r="K193" s="363"/>
      <c r="L193" s="370"/>
      <c r="M193" s="490"/>
      <c r="N193" s="489" t="str">
        <f t="shared" si="138"/>
        <v/>
      </c>
      <c r="O193" s="308"/>
      <c r="Q193" s="497"/>
      <c r="R193" s="481"/>
      <c r="S193" s="514"/>
      <c r="T193" s="515" t="str">
        <f t="shared" si="143"/>
        <v/>
      </c>
      <c r="U193" s="482" t="str">
        <f t="shared" si="144"/>
        <v/>
      </c>
      <c r="V193" s="514"/>
      <c r="W193" s="515" t="str">
        <f t="shared" si="145"/>
        <v/>
      </c>
      <c r="X193" s="507"/>
      <c r="Y193" s="507"/>
      <c r="Z193" s="478"/>
      <c r="AA193" s="471"/>
      <c r="AB193" s="471"/>
      <c r="AC193" s="471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/>
      <c r="IQ193" s="6"/>
      <c r="IR193" s="6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6"/>
      <c r="KZ193" s="6"/>
      <c r="LA193" s="6"/>
      <c r="LB193" s="6"/>
      <c r="LC193" s="6"/>
      <c r="LD193" s="6"/>
      <c r="LE193" s="6"/>
      <c r="LF193" s="6"/>
      <c r="LG193" s="6"/>
      <c r="LH193" s="6"/>
      <c r="LI193" s="6"/>
      <c r="LJ193" s="6"/>
      <c r="LK193" s="6"/>
      <c r="LL193" s="6"/>
      <c r="LM193" s="6"/>
      <c r="LN193" s="6"/>
      <c r="LO193" s="6"/>
      <c r="LP193" s="6"/>
      <c r="LQ193" s="6"/>
      <c r="LR193" s="6"/>
      <c r="LS193" s="6"/>
      <c r="LT193" s="6"/>
      <c r="LU193" s="6"/>
      <c r="LV193" s="6"/>
      <c r="LW193" s="6"/>
      <c r="LX193" s="6"/>
      <c r="LY193" s="6"/>
      <c r="LZ193" s="6"/>
      <c r="MA193" s="6"/>
      <c r="MB193" s="6"/>
      <c r="MC193" s="6"/>
      <c r="MD193" s="6"/>
      <c r="ME193" s="6"/>
      <c r="MF193" s="6"/>
      <c r="MG193" s="6"/>
      <c r="MH193" s="6"/>
      <c r="MI193" s="6"/>
      <c r="MJ193" s="6"/>
      <c r="MK193" s="6"/>
      <c r="ML193" s="6"/>
      <c r="MM193" s="6"/>
      <c r="MN193" s="6"/>
      <c r="MO193" s="6"/>
      <c r="MP193" s="6"/>
      <c r="MQ193" s="6"/>
      <c r="MR193" s="6"/>
      <c r="MS193" s="6"/>
      <c r="MT193" s="6"/>
      <c r="MU193" s="6"/>
      <c r="MV193" s="6"/>
      <c r="MW193" s="6"/>
      <c r="MX193" s="6"/>
      <c r="MY193" s="6"/>
      <c r="MZ193" s="6"/>
      <c r="NA193" s="6"/>
      <c r="NB193" s="6"/>
      <c r="NC193" s="6"/>
      <c r="ND193" s="6"/>
      <c r="NE193" s="6"/>
      <c r="NF193" s="6"/>
      <c r="NG193" s="6"/>
      <c r="NH193" s="6"/>
      <c r="NI193" s="6"/>
      <c r="NJ193" s="6"/>
      <c r="NK193" s="6"/>
      <c r="NL193" s="6"/>
      <c r="NM193" s="6"/>
      <c r="NN193" s="6"/>
      <c r="NO193" s="6"/>
      <c r="NP193" s="6"/>
      <c r="NQ193" s="6"/>
      <c r="NR193" s="6"/>
      <c r="NS193" s="6"/>
      <c r="NT193" s="6"/>
      <c r="NU193" s="6"/>
      <c r="NV193" s="6"/>
      <c r="NW193" s="6"/>
      <c r="NX193" s="6"/>
      <c r="NY193" s="6"/>
      <c r="NZ193" s="6"/>
      <c r="OA193" s="6"/>
      <c r="OB193" s="6"/>
      <c r="OC193" s="6"/>
      <c r="OD193" s="6"/>
      <c r="OE193" s="6"/>
      <c r="OF193" s="6"/>
      <c r="OG193" s="6"/>
      <c r="OH193" s="6"/>
      <c r="OI193" s="6"/>
      <c r="OJ193" s="6"/>
      <c r="OK193" s="6"/>
      <c r="OL193" s="6"/>
      <c r="OM193" s="6"/>
      <c r="ON193" s="6"/>
      <c r="OO193" s="6"/>
      <c r="OP193" s="6"/>
      <c r="OQ193" s="6"/>
      <c r="OR193" s="6"/>
      <c r="OS193" s="6"/>
      <c r="OT193" s="6"/>
      <c r="OU193" s="6"/>
      <c r="OV193" s="6"/>
      <c r="OW193" s="6"/>
      <c r="OX193" s="6"/>
      <c r="OY193" s="6"/>
      <c r="OZ193" s="6"/>
      <c r="PA193" s="6"/>
      <c r="PB193" s="6"/>
      <c r="PC193" s="6"/>
      <c r="PD193" s="6"/>
      <c r="PE193" s="6"/>
      <c r="PF193" s="6"/>
      <c r="PG193" s="6"/>
      <c r="PH193" s="6"/>
      <c r="PI193" s="6"/>
      <c r="PJ193" s="6"/>
      <c r="PK193" s="6"/>
      <c r="PL193" s="6"/>
      <c r="PM193" s="6"/>
      <c r="PN193" s="6"/>
      <c r="PO193" s="6"/>
      <c r="PP193" s="6"/>
      <c r="PQ193" s="6"/>
      <c r="PR193" s="6"/>
      <c r="PS193" s="6"/>
      <c r="PT193" s="6"/>
      <c r="PU193" s="6"/>
      <c r="PV193" s="6"/>
      <c r="PW193" s="6"/>
      <c r="PX193" s="6"/>
      <c r="PY193" s="6"/>
      <c r="PZ193" s="6"/>
      <c r="QA193" s="6"/>
      <c r="QB193" s="6"/>
      <c r="QC193" s="6"/>
      <c r="QD193" s="6"/>
      <c r="QE193" s="6"/>
      <c r="QF193" s="6"/>
      <c r="QG193" s="6"/>
      <c r="QH193" s="6"/>
      <c r="QI193" s="6"/>
      <c r="QJ193" s="6"/>
      <c r="QK193" s="6"/>
      <c r="QL193" s="6"/>
      <c r="QM193" s="6"/>
      <c r="QN193" s="6"/>
      <c r="QO193" s="6"/>
      <c r="QP193" s="6"/>
      <c r="QQ193" s="6"/>
      <c r="QR193" s="6"/>
      <c r="QS193" s="6"/>
      <c r="QT193" s="6"/>
      <c r="QU193" s="6"/>
      <c r="QV193" s="6"/>
      <c r="QW193" s="6"/>
      <c r="QX193" s="6"/>
      <c r="QY193" s="6"/>
      <c r="QZ193" s="6"/>
      <c r="RA193" s="6"/>
      <c r="RB193" s="6"/>
      <c r="RC193" s="6"/>
      <c r="RD193" s="6"/>
      <c r="RE193" s="6"/>
      <c r="RF193" s="6"/>
      <c r="RG193" s="6"/>
      <c r="RH193" s="6"/>
      <c r="RI193" s="6"/>
      <c r="RJ193" s="6"/>
      <c r="RK193" s="6"/>
      <c r="RL193" s="6"/>
      <c r="RM193" s="6"/>
      <c r="RN193" s="6"/>
      <c r="RO193" s="6"/>
      <c r="RP193" s="6"/>
      <c r="RQ193" s="6"/>
      <c r="RR193" s="6"/>
      <c r="RS193" s="6"/>
      <c r="RT193" s="6"/>
      <c r="RU193" s="6"/>
      <c r="RV193" s="6"/>
      <c r="RW193" s="6"/>
      <c r="RX193" s="6"/>
      <c r="RY193" s="6"/>
      <c r="RZ193" s="6"/>
      <c r="SA193" s="6"/>
      <c r="SB193" s="6"/>
      <c r="SC193" s="6"/>
      <c r="SD193" s="6"/>
      <c r="SE193" s="6"/>
      <c r="SF193" s="6"/>
      <c r="SG193" s="6"/>
      <c r="SH193" s="6"/>
      <c r="SI193" s="6"/>
      <c r="SJ193" s="6"/>
      <c r="SK193" s="6"/>
      <c r="SL193" s="6"/>
      <c r="SM193" s="6"/>
      <c r="SN193" s="6"/>
      <c r="SO193" s="6"/>
      <c r="SP193" s="6"/>
      <c r="SQ193" s="6"/>
      <c r="SR193" s="6"/>
      <c r="SS193" s="6"/>
      <c r="ST193" s="6"/>
      <c r="SU193" s="6"/>
      <c r="SV193" s="6"/>
      <c r="SW193" s="6"/>
      <c r="SX193" s="6"/>
      <c r="SY193" s="6"/>
      <c r="SZ193" s="6"/>
      <c r="TA193" s="6"/>
      <c r="TB193" s="6"/>
      <c r="TC193" s="6"/>
      <c r="TD193" s="6"/>
      <c r="TE193" s="6"/>
      <c r="TF193" s="6"/>
      <c r="TG193" s="6"/>
      <c r="TH193" s="6"/>
      <c r="TI193" s="6"/>
      <c r="TJ193" s="6"/>
      <c r="TK193" s="6"/>
      <c r="TL193" s="6"/>
      <c r="TM193" s="6"/>
      <c r="TN193" s="6"/>
      <c r="TO193" s="6"/>
      <c r="TP193" s="6"/>
      <c r="TQ193" s="6"/>
      <c r="TR193" s="6"/>
      <c r="TS193" s="6"/>
      <c r="TT193" s="6"/>
      <c r="TU193" s="6"/>
      <c r="TV193" s="6"/>
      <c r="TW193" s="6"/>
      <c r="TX193" s="6"/>
      <c r="TY193" s="6"/>
      <c r="TZ193" s="6"/>
      <c r="UA193" s="6"/>
      <c r="UB193" s="6"/>
      <c r="UC193" s="6"/>
      <c r="UD193" s="6"/>
      <c r="UE193" s="6"/>
      <c r="UF193" s="6"/>
      <c r="UG193" s="6"/>
      <c r="UH193" s="6"/>
      <c r="UI193" s="6"/>
      <c r="UJ193" s="6"/>
      <c r="UK193" s="6"/>
      <c r="UL193" s="6"/>
      <c r="UM193" s="6"/>
      <c r="UN193" s="6"/>
      <c r="UO193" s="6"/>
      <c r="UP193" s="6"/>
      <c r="UQ193" s="6"/>
      <c r="UR193" s="6"/>
      <c r="US193" s="6"/>
      <c r="UT193" s="6"/>
      <c r="UU193" s="6"/>
      <c r="UV193" s="6"/>
      <c r="UW193" s="6"/>
      <c r="UX193" s="6"/>
      <c r="UY193" s="6"/>
      <c r="UZ193" s="6"/>
      <c r="VA193" s="6"/>
      <c r="VB193" s="6"/>
      <c r="VC193" s="6"/>
      <c r="VD193" s="6"/>
      <c r="VE193" s="6"/>
      <c r="VF193" s="6"/>
      <c r="VG193" s="6"/>
      <c r="VH193" s="6"/>
      <c r="VI193" s="6"/>
      <c r="VJ193" s="6"/>
      <c r="VK193" s="6"/>
      <c r="VL193" s="6"/>
      <c r="VM193" s="6"/>
      <c r="VN193" s="6"/>
      <c r="VO193" s="6"/>
      <c r="VP193" s="6"/>
      <c r="VQ193" s="6"/>
      <c r="VR193" s="6"/>
      <c r="VS193" s="6"/>
      <c r="VT193" s="6"/>
      <c r="VU193" s="6"/>
      <c r="VV193" s="6"/>
      <c r="VW193" s="6"/>
      <c r="VX193" s="6"/>
      <c r="VY193" s="6"/>
      <c r="VZ193" s="6"/>
      <c r="WA193" s="6"/>
      <c r="WB193" s="6"/>
      <c r="WC193" s="6"/>
      <c r="WD193" s="6"/>
      <c r="WE193" s="6"/>
      <c r="WF193" s="6"/>
      <c r="WG193" s="6"/>
      <c r="WH193" s="6"/>
      <c r="WI193" s="6"/>
      <c r="WJ193" s="6"/>
      <c r="WK193" s="6"/>
      <c r="WL193" s="6"/>
      <c r="WM193" s="6"/>
      <c r="WN193" s="6"/>
      <c r="WO193" s="6"/>
      <c r="WP193" s="6"/>
      <c r="WQ193" s="6"/>
      <c r="WR193" s="6"/>
      <c r="WS193" s="6"/>
      <c r="WT193" s="6"/>
      <c r="WU193" s="6"/>
      <c r="WV193" s="6"/>
      <c r="WW193" s="6"/>
      <c r="WX193" s="6"/>
      <c r="WY193" s="6"/>
      <c r="WZ193" s="6"/>
      <c r="XA193" s="6"/>
      <c r="XB193" s="6"/>
      <c r="XC193" s="6"/>
      <c r="XD193" s="6"/>
      <c r="XE193" s="6"/>
      <c r="XF193" s="6"/>
      <c r="XG193" s="6"/>
      <c r="XH193" s="6"/>
      <c r="XI193" s="6"/>
      <c r="XJ193" s="6"/>
      <c r="XK193" s="6"/>
      <c r="XL193" s="6"/>
      <c r="XM193" s="6"/>
      <c r="XN193" s="6"/>
      <c r="XO193" s="6"/>
      <c r="XP193" s="6"/>
      <c r="XQ193" s="6"/>
      <c r="XR193" s="6"/>
      <c r="XS193" s="6"/>
      <c r="XT193" s="6"/>
      <c r="XU193" s="6"/>
      <c r="XV193" s="6"/>
      <c r="XW193" s="6"/>
      <c r="XX193" s="6"/>
      <c r="XY193" s="6"/>
      <c r="XZ193" s="6"/>
      <c r="YA193" s="6"/>
      <c r="YB193" s="6"/>
      <c r="YC193" s="6"/>
      <c r="YD193" s="6"/>
      <c r="YE193" s="6"/>
      <c r="YF193" s="6"/>
      <c r="YG193" s="6"/>
      <c r="YH193" s="6"/>
      <c r="YI193" s="6"/>
      <c r="YJ193" s="6"/>
      <c r="YK193" s="6"/>
      <c r="YL193" s="6"/>
      <c r="YM193" s="6"/>
      <c r="YN193" s="6"/>
      <c r="YO193" s="6"/>
      <c r="YP193" s="6"/>
      <c r="YQ193" s="6"/>
      <c r="YR193" s="6"/>
      <c r="YS193" s="6"/>
      <c r="YT193" s="6"/>
      <c r="YU193" s="6"/>
      <c r="YV193" s="6"/>
      <c r="YW193" s="6"/>
      <c r="YX193" s="6"/>
      <c r="YY193" s="6"/>
      <c r="YZ193" s="6"/>
      <c r="ZA193" s="6"/>
      <c r="ZB193" s="6"/>
      <c r="ZC193" s="6"/>
      <c r="ZD193" s="6"/>
      <c r="ZE193" s="6"/>
      <c r="ZF193" s="6"/>
      <c r="ZG193" s="6"/>
      <c r="ZH193" s="6"/>
      <c r="ZI193" s="6"/>
      <c r="ZJ193" s="6"/>
      <c r="ZK193" s="6"/>
      <c r="ZL193" s="6"/>
      <c r="ZM193" s="6"/>
      <c r="ZN193" s="6"/>
      <c r="ZO193" s="6"/>
      <c r="ZP193" s="6"/>
      <c r="ZQ193" s="6"/>
      <c r="ZR193" s="6"/>
      <c r="ZS193" s="6"/>
      <c r="ZT193" s="6"/>
      <c r="ZU193" s="6"/>
      <c r="ZV193" s="6"/>
      <c r="ZW193" s="6"/>
      <c r="ZX193" s="6"/>
      <c r="ZY193" s="6"/>
      <c r="ZZ193" s="6"/>
      <c r="AAA193" s="6"/>
      <c r="AAB193" s="6"/>
      <c r="AAC193" s="6"/>
      <c r="AAD193" s="6"/>
      <c r="AAE193" s="6"/>
      <c r="AAF193" s="6"/>
      <c r="AAG193" s="6"/>
      <c r="AAH193" s="6"/>
      <c r="AAI193" s="6"/>
      <c r="AAJ193" s="6"/>
      <c r="AAK193" s="6"/>
      <c r="AAL193" s="6"/>
      <c r="AAM193" s="6"/>
      <c r="AAN193" s="6"/>
      <c r="AAO193" s="6"/>
      <c r="AAP193" s="6"/>
      <c r="AAQ193" s="6"/>
      <c r="AAR193" s="6"/>
      <c r="AAS193" s="6"/>
      <c r="AAT193" s="6"/>
      <c r="AAU193" s="6"/>
      <c r="AAV193" s="6"/>
      <c r="AAW193" s="6"/>
      <c r="AAX193" s="6"/>
      <c r="AAY193" s="6"/>
      <c r="AAZ193" s="6"/>
      <c r="ABA193" s="6"/>
      <c r="ABB193" s="6"/>
      <c r="ABC193" s="6"/>
      <c r="ABD193" s="6"/>
      <c r="ABE193" s="6"/>
      <c r="ABF193" s="6"/>
      <c r="ABG193" s="6"/>
      <c r="ABH193" s="6"/>
      <c r="ABI193" s="6"/>
      <c r="ABJ193" s="6"/>
      <c r="ABK193" s="6"/>
      <c r="ABL193" s="6"/>
      <c r="ABM193" s="6"/>
      <c r="ABN193" s="6"/>
      <c r="ABO193" s="6"/>
      <c r="ABP193" s="6"/>
      <c r="ABQ193" s="6"/>
      <c r="ABR193" s="6"/>
      <c r="ABS193" s="6"/>
      <c r="ABT193" s="6"/>
      <c r="ABU193" s="6"/>
      <c r="ABV193" s="6"/>
      <c r="ABW193" s="6"/>
      <c r="ABX193" s="6"/>
      <c r="ABY193" s="6"/>
      <c r="ABZ193" s="6"/>
      <c r="ACA193" s="6"/>
      <c r="ACB193" s="6"/>
      <c r="ACC193" s="6"/>
      <c r="ACD193" s="6"/>
      <c r="ACE193" s="6"/>
      <c r="ACF193" s="6"/>
      <c r="ACG193" s="6"/>
      <c r="ACH193" s="6"/>
      <c r="ACI193" s="6"/>
      <c r="ACJ193" s="6"/>
      <c r="ACK193" s="6"/>
      <c r="ACL193" s="6"/>
      <c r="ACM193" s="6"/>
      <c r="ACN193" s="6"/>
      <c r="ACO193" s="6"/>
      <c r="ACP193" s="6"/>
      <c r="ACQ193" s="6"/>
      <c r="ACR193" s="6"/>
      <c r="ACS193" s="6"/>
      <c r="ACT193" s="6"/>
      <c r="ACU193" s="6"/>
      <c r="ACV193" s="6"/>
      <c r="ACW193" s="6"/>
      <c r="ACX193" s="6"/>
      <c r="ACY193" s="6"/>
      <c r="ACZ193" s="6"/>
      <c r="ADA193" s="6"/>
      <c r="ADB193" s="6"/>
      <c r="ADC193" s="6"/>
      <c r="ADD193" s="6"/>
      <c r="ADE193" s="6"/>
      <c r="ADF193" s="6"/>
      <c r="ADG193" s="6"/>
      <c r="ADH193" s="6"/>
      <c r="ADI193" s="6"/>
      <c r="ADJ193" s="6"/>
    </row>
    <row r="194" spans="1:790" s="291" customFormat="1" x14ac:dyDescent="0.3">
      <c r="A194" s="399"/>
      <c r="B194" s="574" t="s">
        <v>149</v>
      </c>
      <c r="C194" s="434"/>
      <c r="D194" s="435"/>
      <c r="E194" s="435"/>
      <c r="F194" s="436"/>
      <c r="G194" s="436"/>
      <c r="H194" s="436">
        <f>SUM(J183:J185)</f>
        <v>7.2294000000000009</v>
      </c>
      <c r="I194" s="437" t="s">
        <v>22</v>
      </c>
      <c r="J194" s="362"/>
      <c r="K194" s="363"/>
      <c r="L194" s="370"/>
      <c r="M194" s="490"/>
      <c r="N194" s="489" t="str">
        <f t="shared" si="138"/>
        <v/>
      </c>
      <c r="O194" s="308"/>
      <c r="Q194" s="497"/>
      <c r="R194" s="481"/>
      <c r="S194" s="514"/>
      <c r="T194" s="515" t="str">
        <f t="shared" si="143"/>
        <v/>
      </c>
      <c r="U194" s="482" t="str">
        <f t="shared" si="144"/>
        <v/>
      </c>
      <c r="V194" s="514"/>
      <c r="W194" s="515" t="str">
        <f t="shared" si="145"/>
        <v/>
      </c>
      <c r="X194" s="507"/>
      <c r="Y194" s="507"/>
      <c r="Z194" s="478"/>
      <c r="AA194" s="471"/>
      <c r="AB194" s="471"/>
      <c r="AC194" s="471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6"/>
      <c r="IK194" s="6"/>
      <c r="IL194" s="6"/>
      <c r="IM194" s="6"/>
      <c r="IN194" s="6"/>
      <c r="IO194" s="6"/>
      <c r="IP194" s="6"/>
      <c r="IQ194" s="6"/>
      <c r="IR194" s="6"/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6"/>
      <c r="KZ194" s="6"/>
      <c r="LA194" s="6"/>
      <c r="LB194" s="6"/>
      <c r="LC194" s="6"/>
      <c r="LD194" s="6"/>
      <c r="LE194" s="6"/>
      <c r="LF194" s="6"/>
      <c r="LG194" s="6"/>
      <c r="LH194" s="6"/>
      <c r="LI194" s="6"/>
      <c r="LJ194" s="6"/>
      <c r="LK194" s="6"/>
      <c r="LL194" s="6"/>
      <c r="LM194" s="6"/>
      <c r="LN194" s="6"/>
      <c r="LO194" s="6"/>
      <c r="LP194" s="6"/>
      <c r="LQ194" s="6"/>
      <c r="LR194" s="6"/>
      <c r="LS194" s="6"/>
      <c r="LT194" s="6"/>
      <c r="LU194" s="6"/>
      <c r="LV194" s="6"/>
      <c r="LW194" s="6"/>
      <c r="LX194" s="6"/>
      <c r="LY194" s="6"/>
      <c r="LZ194" s="6"/>
      <c r="MA194" s="6"/>
      <c r="MB194" s="6"/>
      <c r="MC194" s="6"/>
      <c r="MD194" s="6"/>
      <c r="ME194" s="6"/>
      <c r="MF194" s="6"/>
      <c r="MG194" s="6"/>
      <c r="MH194" s="6"/>
      <c r="MI194" s="6"/>
      <c r="MJ194" s="6"/>
      <c r="MK194" s="6"/>
      <c r="ML194" s="6"/>
      <c r="MM194" s="6"/>
      <c r="MN194" s="6"/>
      <c r="MO194" s="6"/>
      <c r="MP194" s="6"/>
      <c r="MQ194" s="6"/>
      <c r="MR194" s="6"/>
      <c r="MS194" s="6"/>
      <c r="MT194" s="6"/>
      <c r="MU194" s="6"/>
      <c r="MV194" s="6"/>
      <c r="MW194" s="6"/>
      <c r="MX194" s="6"/>
      <c r="MY194" s="6"/>
      <c r="MZ194" s="6"/>
      <c r="NA194" s="6"/>
      <c r="NB194" s="6"/>
      <c r="NC194" s="6"/>
      <c r="ND194" s="6"/>
      <c r="NE194" s="6"/>
      <c r="NF194" s="6"/>
      <c r="NG194" s="6"/>
      <c r="NH194" s="6"/>
      <c r="NI194" s="6"/>
      <c r="NJ194" s="6"/>
      <c r="NK194" s="6"/>
      <c r="NL194" s="6"/>
      <c r="NM194" s="6"/>
      <c r="NN194" s="6"/>
      <c r="NO194" s="6"/>
      <c r="NP194" s="6"/>
      <c r="NQ194" s="6"/>
      <c r="NR194" s="6"/>
      <c r="NS194" s="6"/>
      <c r="NT194" s="6"/>
      <c r="NU194" s="6"/>
      <c r="NV194" s="6"/>
      <c r="NW194" s="6"/>
      <c r="NX194" s="6"/>
      <c r="NY194" s="6"/>
      <c r="NZ194" s="6"/>
      <c r="OA194" s="6"/>
      <c r="OB194" s="6"/>
      <c r="OC194" s="6"/>
      <c r="OD194" s="6"/>
      <c r="OE194" s="6"/>
      <c r="OF194" s="6"/>
      <c r="OG194" s="6"/>
      <c r="OH194" s="6"/>
      <c r="OI194" s="6"/>
      <c r="OJ194" s="6"/>
      <c r="OK194" s="6"/>
      <c r="OL194" s="6"/>
      <c r="OM194" s="6"/>
      <c r="ON194" s="6"/>
      <c r="OO194" s="6"/>
      <c r="OP194" s="6"/>
      <c r="OQ194" s="6"/>
      <c r="OR194" s="6"/>
      <c r="OS194" s="6"/>
      <c r="OT194" s="6"/>
      <c r="OU194" s="6"/>
      <c r="OV194" s="6"/>
      <c r="OW194" s="6"/>
      <c r="OX194" s="6"/>
      <c r="OY194" s="6"/>
      <c r="OZ194" s="6"/>
      <c r="PA194" s="6"/>
      <c r="PB194" s="6"/>
      <c r="PC194" s="6"/>
      <c r="PD194" s="6"/>
      <c r="PE194" s="6"/>
      <c r="PF194" s="6"/>
      <c r="PG194" s="6"/>
      <c r="PH194" s="6"/>
      <c r="PI194" s="6"/>
      <c r="PJ194" s="6"/>
      <c r="PK194" s="6"/>
      <c r="PL194" s="6"/>
      <c r="PM194" s="6"/>
      <c r="PN194" s="6"/>
      <c r="PO194" s="6"/>
      <c r="PP194" s="6"/>
      <c r="PQ194" s="6"/>
      <c r="PR194" s="6"/>
      <c r="PS194" s="6"/>
      <c r="PT194" s="6"/>
      <c r="PU194" s="6"/>
      <c r="PV194" s="6"/>
      <c r="PW194" s="6"/>
      <c r="PX194" s="6"/>
      <c r="PY194" s="6"/>
      <c r="PZ194" s="6"/>
      <c r="QA194" s="6"/>
      <c r="QB194" s="6"/>
      <c r="QC194" s="6"/>
      <c r="QD194" s="6"/>
      <c r="QE194" s="6"/>
      <c r="QF194" s="6"/>
      <c r="QG194" s="6"/>
      <c r="QH194" s="6"/>
      <c r="QI194" s="6"/>
      <c r="QJ194" s="6"/>
      <c r="QK194" s="6"/>
      <c r="QL194" s="6"/>
      <c r="QM194" s="6"/>
      <c r="QN194" s="6"/>
      <c r="QO194" s="6"/>
      <c r="QP194" s="6"/>
      <c r="QQ194" s="6"/>
      <c r="QR194" s="6"/>
      <c r="QS194" s="6"/>
      <c r="QT194" s="6"/>
      <c r="QU194" s="6"/>
      <c r="QV194" s="6"/>
      <c r="QW194" s="6"/>
      <c r="QX194" s="6"/>
      <c r="QY194" s="6"/>
      <c r="QZ194" s="6"/>
      <c r="RA194" s="6"/>
      <c r="RB194" s="6"/>
      <c r="RC194" s="6"/>
      <c r="RD194" s="6"/>
      <c r="RE194" s="6"/>
      <c r="RF194" s="6"/>
      <c r="RG194" s="6"/>
      <c r="RH194" s="6"/>
      <c r="RI194" s="6"/>
      <c r="RJ194" s="6"/>
      <c r="RK194" s="6"/>
      <c r="RL194" s="6"/>
      <c r="RM194" s="6"/>
      <c r="RN194" s="6"/>
      <c r="RO194" s="6"/>
      <c r="RP194" s="6"/>
      <c r="RQ194" s="6"/>
      <c r="RR194" s="6"/>
      <c r="RS194" s="6"/>
      <c r="RT194" s="6"/>
      <c r="RU194" s="6"/>
      <c r="RV194" s="6"/>
      <c r="RW194" s="6"/>
      <c r="RX194" s="6"/>
      <c r="RY194" s="6"/>
      <c r="RZ194" s="6"/>
      <c r="SA194" s="6"/>
      <c r="SB194" s="6"/>
      <c r="SC194" s="6"/>
      <c r="SD194" s="6"/>
      <c r="SE194" s="6"/>
      <c r="SF194" s="6"/>
      <c r="SG194" s="6"/>
      <c r="SH194" s="6"/>
      <c r="SI194" s="6"/>
      <c r="SJ194" s="6"/>
      <c r="SK194" s="6"/>
      <c r="SL194" s="6"/>
      <c r="SM194" s="6"/>
      <c r="SN194" s="6"/>
      <c r="SO194" s="6"/>
      <c r="SP194" s="6"/>
      <c r="SQ194" s="6"/>
      <c r="SR194" s="6"/>
      <c r="SS194" s="6"/>
      <c r="ST194" s="6"/>
      <c r="SU194" s="6"/>
      <c r="SV194" s="6"/>
      <c r="SW194" s="6"/>
      <c r="SX194" s="6"/>
      <c r="SY194" s="6"/>
      <c r="SZ194" s="6"/>
      <c r="TA194" s="6"/>
      <c r="TB194" s="6"/>
      <c r="TC194" s="6"/>
      <c r="TD194" s="6"/>
      <c r="TE194" s="6"/>
      <c r="TF194" s="6"/>
      <c r="TG194" s="6"/>
      <c r="TH194" s="6"/>
      <c r="TI194" s="6"/>
      <c r="TJ194" s="6"/>
      <c r="TK194" s="6"/>
      <c r="TL194" s="6"/>
      <c r="TM194" s="6"/>
      <c r="TN194" s="6"/>
      <c r="TO194" s="6"/>
      <c r="TP194" s="6"/>
      <c r="TQ194" s="6"/>
      <c r="TR194" s="6"/>
      <c r="TS194" s="6"/>
      <c r="TT194" s="6"/>
      <c r="TU194" s="6"/>
      <c r="TV194" s="6"/>
      <c r="TW194" s="6"/>
      <c r="TX194" s="6"/>
      <c r="TY194" s="6"/>
      <c r="TZ194" s="6"/>
      <c r="UA194" s="6"/>
      <c r="UB194" s="6"/>
      <c r="UC194" s="6"/>
      <c r="UD194" s="6"/>
      <c r="UE194" s="6"/>
      <c r="UF194" s="6"/>
      <c r="UG194" s="6"/>
      <c r="UH194" s="6"/>
      <c r="UI194" s="6"/>
      <c r="UJ194" s="6"/>
      <c r="UK194" s="6"/>
      <c r="UL194" s="6"/>
      <c r="UM194" s="6"/>
      <c r="UN194" s="6"/>
      <c r="UO194" s="6"/>
      <c r="UP194" s="6"/>
      <c r="UQ194" s="6"/>
      <c r="UR194" s="6"/>
      <c r="US194" s="6"/>
      <c r="UT194" s="6"/>
      <c r="UU194" s="6"/>
      <c r="UV194" s="6"/>
      <c r="UW194" s="6"/>
      <c r="UX194" s="6"/>
      <c r="UY194" s="6"/>
      <c r="UZ194" s="6"/>
      <c r="VA194" s="6"/>
      <c r="VB194" s="6"/>
      <c r="VC194" s="6"/>
      <c r="VD194" s="6"/>
      <c r="VE194" s="6"/>
      <c r="VF194" s="6"/>
      <c r="VG194" s="6"/>
      <c r="VH194" s="6"/>
      <c r="VI194" s="6"/>
      <c r="VJ194" s="6"/>
      <c r="VK194" s="6"/>
      <c r="VL194" s="6"/>
      <c r="VM194" s="6"/>
      <c r="VN194" s="6"/>
      <c r="VO194" s="6"/>
      <c r="VP194" s="6"/>
      <c r="VQ194" s="6"/>
      <c r="VR194" s="6"/>
      <c r="VS194" s="6"/>
      <c r="VT194" s="6"/>
      <c r="VU194" s="6"/>
      <c r="VV194" s="6"/>
      <c r="VW194" s="6"/>
      <c r="VX194" s="6"/>
      <c r="VY194" s="6"/>
      <c r="VZ194" s="6"/>
      <c r="WA194" s="6"/>
      <c r="WB194" s="6"/>
      <c r="WC194" s="6"/>
      <c r="WD194" s="6"/>
      <c r="WE194" s="6"/>
      <c r="WF194" s="6"/>
      <c r="WG194" s="6"/>
      <c r="WH194" s="6"/>
      <c r="WI194" s="6"/>
      <c r="WJ194" s="6"/>
      <c r="WK194" s="6"/>
      <c r="WL194" s="6"/>
      <c r="WM194" s="6"/>
      <c r="WN194" s="6"/>
      <c r="WO194" s="6"/>
      <c r="WP194" s="6"/>
      <c r="WQ194" s="6"/>
      <c r="WR194" s="6"/>
      <c r="WS194" s="6"/>
      <c r="WT194" s="6"/>
      <c r="WU194" s="6"/>
      <c r="WV194" s="6"/>
      <c r="WW194" s="6"/>
      <c r="WX194" s="6"/>
      <c r="WY194" s="6"/>
      <c r="WZ194" s="6"/>
      <c r="XA194" s="6"/>
      <c r="XB194" s="6"/>
      <c r="XC194" s="6"/>
      <c r="XD194" s="6"/>
      <c r="XE194" s="6"/>
      <c r="XF194" s="6"/>
      <c r="XG194" s="6"/>
      <c r="XH194" s="6"/>
      <c r="XI194" s="6"/>
      <c r="XJ194" s="6"/>
      <c r="XK194" s="6"/>
      <c r="XL194" s="6"/>
      <c r="XM194" s="6"/>
      <c r="XN194" s="6"/>
      <c r="XO194" s="6"/>
      <c r="XP194" s="6"/>
      <c r="XQ194" s="6"/>
      <c r="XR194" s="6"/>
      <c r="XS194" s="6"/>
      <c r="XT194" s="6"/>
      <c r="XU194" s="6"/>
      <c r="XV194" s="6"/>
      <c r="XW194" s="6"/>
      <c r="XX194" s="6"/>
      <c r="XY194" s="6"/>
      <c r="XZ194" s="6"/>
      <c r="YA194" s="6"/>
      <c r="YB194" s="6"/>
      <c r="YC194" s="6"/>
      <c r="YD194" s="6"/>
      <c r="YE194" s="6"/>
      <c r="YF194" s="6"/>
      <c r="YG194" s="6"/>
      <c r="YH194" s="6"/>
      <c r="YI194" s="6"/>
      <c r="YJ194" s="6"/>
      <c r="YK194" s="6"/>
      <c r="YL194" s="6"/>
      <c r="YM194" s="6"/>
      <c r="YN194" s="6"/>
      <c r="YO194" s="6"/>
      <c r="YP194" s="6"/>
      <c r="YQ194" s="6"/>
      <c r="YR194" s="6"/>
      <c r="YS194" s="6"/>
      <c r="YT194" s="6"/>
      <c r="YU194" s="6"/>
      <c r="YV194" s="6"/>
      <c r="YW194" s="6"/>
      <c r="YX194" s="6"/>
      <c r="YY194" s="6"/>
      <c r="YZ194" s="6"/>
      <c r="ZA194" s="6"/>
      <c r="ZB194" s="6"/>
      <c r="ZC194" s="6"/>
      <c r="ZD194" s="6"/>
      <c r="ZE194" s="6"/>
      <c r="ZF194" s="6"/>
      <c r="ZG194" s="6"/>
      <c r="ZH194" s="6"/>
      <c r="ZI194" s="6"/>
      <c r="ZJ194" s="6"/>
      <c r="ZK194" s="6"/>
      <c r="ZL194" s="6"/>
      <c r="ZM194" s="6"/>
      <c r="ZN194" s="6"/>
      <c r="ZO194" s="6"/>
      <c r="ZP194" s="6"/>
      <c r="ZQ194" s="6"/>
      <c r="ZR194" s="6"/>
      <c r="ZS194" s="6"/>
      <c r="ZT194" s="6"/>
      <c r="ZU194" s="6"/>
      <c r="ZV194" s="6"/>
      <c r="ZW194" s="6"/>
      <c r="ZX194" s="6"/>
      <c r="ZY194" s="6"/>
      <c r="ZZ194" s="6"/>
      <c r="AAA194" s="6"/>
      <c r="AAB194" s="6"/>
      <c r="AAC194" s="6"/>
      <c r="AAD194" s="6"/>
      <c r="AAE194" s="6"/>
      <c r="AAF194" s="6"/>
      <c r="AAG194" s="6"/>
      <c r="AAH194" s="6"/>
      <c r="AAI194" s="6"/>
      <c r="AAJ194" s="6"/>
      <c r="AAK194" s="6"/>
      <c r="AAL194" s="6"/>
      <c r="AAM194" s="6"/>
      <c r="AAN194" s="6"/>
      <c r="AAO194" s="6"/>
      <c r="AAP194" s="6"/>
      <c r="AAQ194" s="6"/>
      <c r="AAR194" s="6"/>
      <c r="AAS194" s="6"/>
      <c r="AAT194" s="6"/>
      <c r="AAU194" s="6"/>
      <c r="AAV194" s="6"/>
      <c r="AAW194" s="6"/>
      <c r="AAX194" s="6"/>
      <c r="AAY194" s="6"/>
      <c r="AAZ194" s="6"/>
      <c r="ABA194" s="6"/>
      <c r="ABB194" s="6"/>
      <c r="ABC194" s="6"/>
      <c r="ABD194" s="6"/>
      <c r="ABE194" s="6"/>
      <c r="ABF194" s="6"/>
      <c r="ABG194" s="6"/>
      <c r="ABH194" s="6"/>
      <c r="ABI194" s="6"/>
      <c r="ABJ194" s="6"/>
      <c r="ABK194" s="6"/>
      <c r="ABL194" s="6"/>
      <c r="ABM194" s="6"/>
      <c r="ABN194" s="6"/>
      <c r="ABO194" s="6"/>
      <c r="ABP194" s="6"/>
      <c r="ABQ194" s="6"/>
      <c r="ABR194" s="6"/>
      <c r="ABS194" s="6"/>
      <c r="ABT194" s="6"/>
      <c r="ABU194" s="6"/>
      <c r="ABV194" s="6"/>
      <c r="ABW194" s="6"/>
      <c r="ABX194" s="6"/>
      <c r="ABY194" s="6"/>
      <c r="ABZ194" s="6"/>
      <c r="ACA194" s="6"/>
      <c r="ACB194" s="6"/>
      <c r="ACC194" s="6"/>
      <c r="ACD194" s="6"/>
      <c r="ACE194" s="6"/>
      <c r="ACF194" s="6"/>
      <c r="ACG194" s="6"/>
      <c r="ACH194" s="6"/>
      <c r="ACI194" s="6"/>
      <c r="ACJ194" s="6"/>
      <c r="ACK194" s="6"/>
      <c r="ACL194" s="6"/>
      <c r="ACM194" s="6"/>
      <c r="ACN194" s="6"/>
      <c r="ACO194" s="6"/>
      <c r="ACP194" s="6"/>
      <c r="ACQ194" s="6"/>
      <c r="ACR194" s="6"/>
      <c r="ACS194" s="6"/>
      <c r="ACT194" s="6"/>
      <c r="ACU194" s="6"/>
      <c r="ACV194" s="6"/>
      <c r="ACW194" s="6"/>
      <c r="ACX194" s="6"/>
      <c r="ACY194" s="6"/>
      <c r="ACZ194" s="6"/>
      <c r="ADA194" s="6"/>
      <c r="ADB194" s="6"/>
      <c r="ADC194" s="6"/>
      <c r="ADD194" s="6"/>
      <c r="ADE194" s="6"/>
      <c r="ADF194" s="6"/>
      <c r="ADG194" s="6"/>
      <c r="ADH194" s="6"/>
      <c r="ADI194" s="6"/>
      <c r="ADJ194" s="6"/>
    </row>
    <row r="195" spans="1:790" s="291" customFormat="1" x14ac:dyDescent="0.3">
      <c r="A195" s="399"/>
      <c r="B195" s="574" t="s">
        <v>154</v>
      </c>
      <c r="C195" s="434">
        <f>(1.3*1.25*1.5)+(2.46*5.2*2.7)+(2.4*1.8*1.7)</f>
        <v>44.319900000000004</v>
      </c>
      <c r="D195" s="435"/>
      <c r="E195" s="435"/>
      <c r="F195" s="436"/>
      <c r="G195" s="436"/>
      <c r="H195" s="436">
        <f>-PRODUCT(C195:G195)</f>
        <v>-44.319900000000004</v>
      </c>
      <c r="I195" s="437" t="s">
        <v>22</v>
      </c>
      <c r="J195" s="362"/>
      <c r="K195" s="363"/>
      <c r="L195" s="370"/>
      <c r="M195" s="490"/>
      <c r="N195" s="489" t="str">
        <f t="shared" si="138"/>
        <v/>
      </c>
      <c r="O195" s="308"/>
      <c r="Q195" s="497"/>
      <c r="R195" s="481"/>
      <c r="S195" s="514"/>
      <c r="T195" s="515" t="str">
        <f t="shared" si="143"/>
        <v/>
      </c>
      <c r="U195" s="482" t="str">
        <f t="shared" si="144"/>
        <v/>
      </c>
      <c r="V195" s="514"/>
      <c r="W195" s="515" t="str">
        <f t="shared" si="145"/>
        <v/>
      </c>
      <c r="X195" s="507"/>
      <c r="Y195" s="507"/>
      <c r="Z195" s="478"/>
      <c r="AA195" s="471"/>
      <c r="AB195" s="471"/>
      <c r="AC195" s="471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6"/>
      <c r="KZ195" s="6"/>
      <c r="LA195" s="6"/>
      <c r="LB195" s="6"/>
      <c r="LC195" s="6"/>
      <c r="LD195" s="6"/>
      <c r="LE195" s="6"/>
      <c r="LF195" s="6"/>
      <c r="LG195" s="6"/>
      <c r="LH195" s="6"/>
      <c r="LI195" s="6"/>
      <c r="LJ195" s="6"/>
      <c r="LK195" s="6"/>
      <c r="LL195" s="6"/>
      <c r="LM195" s="6"/>
      <c r="LN195" s="6"/>
      <c r="LO195" s="6"/>
      <c r="LP195" s="6"/>
      <c r="LQ195" s="6"/>
      <c r="LR195" s="6"/>
      <c r="LS195" s="6"/>
      <c r="LT195" s="6"/>
      <c r="LU195" s="6"/>
      <c r="LV195" s="6"/>
      <c r="LW195" s="6"/>
      <c r="LX195" s="6"/>
      <c r="LY195" s="6"/>
      <c r="LZ195" s="6"/>
      <c r="MA195" s="6"/>
      <c r="MB195" s="6"/>
      <c r="MC195" s="6"/>
      <c r="MD195" s="6"/>
      <c r="ME195" s="6"/>
      <c r="MF195" s="6"/>
      <c r="MG195" s="6"/>
      <c r="MH195" s="6"/>
      <c r="MI195" s="6"/>
      <c r="MJ195" s="6"/>
      <c r="MK195" s="6"/>
      <c r="ML195" s="6"/>
      <c r="MM195" s="6"/>
      <c r="MN195" s="6"/>
      <c r="MO195" s="6"/>
      <c r="MP195" s="6"/>
      <c r="MQ195" s="6"/>
      <c r="MR195" s="6"/>
      <c r="MS195" s="6"/>
      <c r="MT195" s="6"/>
      <c r="MU195" s="6"/>
      <c r="MV195" s="6"/>
      <c r="MW195" s="6"/>
      <c r="MX195" s="6"/>
      <c r="MY195" s="6"/>
      <c r="MZ195" s="6"/>
      <c r="NA195" s="6"/>
      <c r="NB195" s="6"/>
      <c r="NC195" s="6"/>
      <c r="ND195" s="6"/>
      <c r="NE195" s="6"/>
      <c r="NF195" s="6"/>
      <c r="NG195" s="6"/>
      <c r="NH195" s="6"/>
      <c r="NI195" s="6"/>
      <c r="NJ195" s="6"/>
      <c r="NK195" s="6"/>
      <c r="NL195" s="6"/>
      <c r="NM195" s="6"/>
      <c r="NN195" s="6"/>
      <c r="NO195" s="6"/>
      <c r="NP195" s="6"/>
      <c r="NQ195" s="6"/>
      <c r="NR195" s="6"/>
      <c r="NS195" s="6"/>
      <c r="NT195" s="6"/>
      <c r="NU195" s="6"/>
      <c r="NV195" s="6"/>
      <c r="NW195" s="6"/>
      <c r="NX195" s="6"/>
      <c r="NY195" s="6"/>
      <c r="NZ195" s="6"/>
      <c r="OA195" s="6"/>
      <c r="OB195" s="6"/>
      <c r="OC195" s="6"/>
      <c r="OD195" s="6"/>
      <c r="OE195" s="6"/>
      <c r="OF195" s="6"/>
      <c r="OG195" s="6"/>
      <c r="OH195" s="6"/>
      <c r="OI195" s="6"/>
      <c r="OJ195" s="6"/>
      <c r="OK195" s="6"/>
      <c r="OL195" s="6"/>
      <c r="OM195" s="6"/>
      <c r="ON195" s="6"/>
      <c r="OO195" s="6"/>
      <c r="OP195" s="6"/>
      <c r="OQ195" s="6"/>
      <c r="OR195" s="6"/>
      <c r="OS195" s="6"/>
      <c r="OT195" s="6"/>
      <c r="OU195" s="6"/>
      <c r="OV195" s="6"/>
      <c r="OW195" s="6"/>
      <c r="OX195" s="6"/>
      <c r="OY195" s="6"/>
      <c r="OZ195" s="6"/>
      <c r="PA195" s="6"/>
      <c r="PB195" s="6"/>
      <c r="PC195" s="6"/>
      <c r="PD195" s="6"/>
      <c r="PE195" s="6"/>
      <c r="PF195" s="6"/>
      <c r="PG195" s="6"/>
      <c r="PH195" s="6"/>
      <c r="PI195" s="6"/>
      <c r="PJ195" s="6"/>
      <c r="PK195" s="6"/>
      <c r="PL195" s="6"/>
      <c r="PM195" s="6"/>
      <c r="PN195" s="6"/>
      <c r="PO195" s="6"/>
      <c r="PP195" s="6"/>
      <c r="PQ195" s="6"/>
      <c r="PR195" s="6"/>
      <c r="PS195" s="6"/>
      <c r="PT195" s="6"/>
      <c r="PU195" s="6"/>
      <c r="PV195" s="6"/>
      <c r="PW195" s="6"/>
      <c r="PX195" s="6"/>
      <c r="PY195" s="6"/>
      <c r="PZ195" s="6"/>
      <c r="QA195" s="6"/>
      <c r="QB195" s="6"/>
      <c r="QC195" s="6"/>
      <c r="QD195" s="6"/>
      <c r="QE195" s="6"/>
      <c r="QF195" s="6"/>
      <c r="QG195" s="6"/>
      <c r="QH195" s="6"/>
      <c r="QI195" s="6"/>
      <c r="QJ195" s="6"/>
      <c r="QK195" s="6"/>
      <c r="QL195" s="6"/>
      <c r="QM195" s="6"/>
      <c r="QN195" s="6"/>
      <c r="QO195" s="6"/>
      <c r="QP195" s="6"/>
      <c r="QQ195" s="6"/>
      <c r="QR195" s="6"/>
      <c r="QS195" s="6"/>
      <c r="QT195" s="6"/>
      <c r="QU195" s="6"/>
      <c r="QV195" s="6"/>
      <c r="QW195" s="6"/>
      <c r="QX195" s="6"/>
      <c r="QY195" s="6"/>
      <c r="QZ195" s="6"/>
      <c r="RA195" s="6"/>
      <c r="RB195" s="6"/>
      <c r="RC195" s="6"/>
      <c r="RD195" s="6"/>
      <c r="RE195" s="6"/>
      <c r="RF195" s="6"/>
      <c r="RG195" s="6"/>
      <c r="RH195" s="6"/>
      <c r="RI195" s="6"/>
      <c r="RJ195" s="6"/>
      <c r="RK195" s="6"/>
      <c r="RL195" s="6"/>
      <c r="RM195" s="6"/>
      <c r="RN195" s="6"/>
      <c r="RO195" s="6"/>
      <c r="RP195" s="6"/>
      <c r="RQ195" s="6"/>
      <c r="RR195" s="6"/>
      <c r="RS195" s="6"/>
      <c r="RT195" s="6"/>
      <c r="RU195" s="6"/>
      <c r="RV195" s="6"/>
      <c r="RW195" s="6"/>
      <c r="RX195" s="6"/>
      <c r="RY195" s="6"/>
      <c r="RZ195" s="6"/>
      <c r="SA195" s="6"/>
      <c r="SB195" s="6"/>
      <c r="SC195" s="6"/>
      <c r="SD195" s="6"/>
      <c r="SE195" s="6"/>
      <c r="SF195" s="6"/>
      <c r="SG195" s="6"/>
      <c r="SH195" s="6"/>
      <c r="SI195" s="6"/>
      <c r="SJ195" s="6"/>
      <c r="SK195" s="6"/>
      <c r="SL195" s="6"/>
      <c r="SM195" s="6"/>
      <c r="SN195" s="6"/>
      <c r="SO195" s="6"/>
      <c r="SP195" s="6"/>
      <c r="SQ195" s="6"/>
      <c r="SR195" s="6"/>
      <c r="SS195" s="6"/>
      <c r="ST195" s="6"/>
      <c r="SU195" s="6"/>
      <c r="SV195" s="6"/>
      <c r="SW195" s="6"/>
      <c r="SX195" s="6"/>
      <c r="SY195" s="6"/>
      <c r="SZ195" s="6"/>
      <c r="TA195" s="6"/>
      <c r="TB195" s="6"/>
      <c r="TC195" s="6"/>
      <c r="TD195" s="6"/>
      <c r="TE195" s="6"/>
      <c r="TF195" s="6"/>
      <c r="TG195" s="6"/>
      <c r="TH195" s="6"/>
      <c r="TI195" s="6"/>
      <c r="TJ195" s="6"/>
      <c r="TK195" s="6"/>
      <c r="TL195" s="6"/>
      <c r="TM195" s="6"/>
      <c r="TN195" s="6"/>
      <c r="TO195" s="6"/>
      <c r="TP195" s="6"/>
      <c r="TQ195" s="6"/>
      <c r="TR195" s="6"/>
      <c r="TS195" s="6"/>
      <c r="TT195" s="6"/>
      <c r="TU195" s="6"/>
      <c r="TV195" s="6"/>
      <c r="TW195" s="6"/>
      <c r="TX195" s="6"/>
      <c r="TY195" s="6"/>
      <c r="TZ195" s="6"/>
      <c r="UA195" s="6"/>
      <c r="UB195" s="6"/>
      <c r="UC195" s="6"/>
      <c r="UD195" s="6"/>
      <c r="UE195" s="6"/>
      <c r="UF195" s="6"/>
      <c r="UG195" s="6"/>
      <c r="UH195" s="6"/>
      <c r="UI195" s="6"/>
      <c r="UJ195" s="6"/>
      <c r="UK195" s="6"/>
      <c r="UL195" s="6"/>
      <c r="UM195" s="6"/>
      <c r="UN195" s="6"/>
      <c r="UO195" s="6"/>
      <c r="UP195" s="6"/>
      <c r="UQ195" s="6"/>
      <c r="UR195" s="6"/>
      <c r="US195" s="6"/>
      <c r="UT195" s="6"/>
      <c r="UU195" s="6"/>
      <c r="UV195" s="6"/>
      <c r="UW195" s="6"/>
      <c r="UX195" s="6"/>
      <c r="UY195" s="6"/>
      <c r="UZ195" s="6"/>
      <c r="VA195" s="6"/>
      <c r="VB195" s="6"/>
      <c r="VC195" s="6"/>
      <c r="VD195" s="6"/>
      <c r="VE195" s="6"/>
      <c r="VF195" s="6"/>
      <c r="VG195" s="6"/>
      <c r="VH195" s="6"/>
      <c r="VI195" s="6"/>
      <c r="VJ195" s="6"/>
      <c r="VK195" s="6"/>
      <c r="VL195" s="6"/>
      <c r="VM195" s="6"/>
      <c r="VN195" s="6"/>
      <c r="VO195" s="6"/>
      <c r="VP195" s="6"/>
      <c r="VQ195" s="6"/>
      <c r="VR195" s="6"/>
      <c r="VS195" s="6"/>
      <c r="VT195" s="6"/>
      <c r="VU195" s="6"/>
      <c r="VV195" s="6"/>
      <c r="VW195" s="6"/>
      <c r="VX195" s="6"/>
      <c r="VY195" s="6"/>
      <c r="VZ195" s="6"/>
      <c r="WA195" s="6"/>
      <c r="WB195" s="6"/>
      <c r="WC195" s="6"/>
      <c r="WD195" s="6"/>
      <c r="WE195" s="6"/>
      <c r="WF195" s="6"/>
      <c r="WG195" s="6"/>
      <c r="WH195" s="6"/>
      <c r="WI195" s="6"/>
      <c r="WJ195" s="6"/>
      <c r="WK195" s="6"/>
      <c r="WL195" s="6"/>
      <c r="WM195" s="6"/>
      <c r="WN195" s="6"/>
      <c r="WO195" s="6"/>
      <c r="WP195" s="6"/>
      <c r="WQ195" s="6"/>
      <c r="WR195" s="6"/>
      <c r="WS195" s="6"/>
      <c r="WT195" s="6"/>
      <c r="WU195" s="6"/>
      <c r="WV195" s="6"/>
      <c r="WW195" s="6"/>
      <c r="WX195" s="6"/>
      <c r="WY195" s="6"/>
      <c r="WZ195" s="6"/>
      <c r="XA195" s="6"/>
      <c r="XB195" s="6"/>
      <c r="XC195" s="6"/>
      <c r="XD195" s="6"/>
      <c r="XE195" s="6"/>
      <c r="XF195" s="6"/>
      <c r="XG195" s="6"/>
      <c r="XH195" s="6"/>
      <c r="XI195" s="6"/>
      <c r="XJ195" s="6"/>
      <c r="XK195" s="6"/>
      <c r="XL195" s="6"/>
      <c r="XM195" s="6"/>
      <c r="XN195" s="6"/>
      <c r="XO195" s="6"/>
      <c r="XP195" s="6"/>
      <c r="XQ195" s="6"/>
      <c r="XR195" s="6"/>
      <c r="XS195" s="6"/>
      <c r="XT195" s="6"/>
      <c r="XU195" s="6"/>
      <c r="XV195" s="6"/>
      <c r="XW195" s="6"/>
      <c r="XX195" s="6"/>
      <c r="XY195" s="6"/>
      <c r="XZ195" s="6"/>
      <c r="YA195" s="6"/>
      <c r="YB195" s="6"/>
      <c r="YC195" s="6"/>
      <c r="YD195" s="6"/>
      <c r="YE195" s="6"/>
      <c r="YF195" s="6"/>
      <c r="YG195" s="6"/>
      <c r="YH195" s="6"/>
      <c r="YI195" s="6"/>
      <c r="YJ195" s="6"/>
      <c r="YK195" s="6"/>
      <c r="YL195" s="6"/>
      <c r="YM195" s="6"/>
      <c r="YN195" s="6"/>
      <c r="YO195" s="6"/>
      <c r="YP195" s="6"/>
      <c r="YQ195" s="6"/>
      <c r="YR195" s="6"/>
      <c r="YS195" s="6"/>
      <c r="YT195" s="6"/>
      <c r="YU195" s="6"/>
      <c r="YV195" s="6"/>
      <c r="YW195" s="6"/>
      <c r="YX195" s="6"/>
      <c r="YY195" s="6"/>
      <c r="YZ195" s="6"/>
      <c r="ZA195" s="6"/>
      <c r="ZB195" s="6"/>
      <c r="ZC195" s="6"/>
      <c r="ZD195" s="6"/>
      <c r="ZE195" s="6"/>
      <c r="ZF195" s="6"/>
      <c r="ZG195" s="6"/>
      <c r="ZH195" s="6"/>
      <c r="ZI195" s="6"/>
      <c r="ZJ195" s="6"/>
      <c r="ZK195" s="6"/>
      <c r="ZL195" s="6"/>
      <c r="ZM195" s="6"/>
      <c r="ZN195" s="6"/>
      <c r="ZO195" s="6"/>
      <c r="ZP195" s="6"/>
      <c r="ZQ195" s="6"/>
      <c r="ZR195" s="6"/>
      <c r="ZS195" s="6"/>
      <c r="ZT195" s="6"/>
      <c r="ZU195" s="6"/>
      <c r="ZV195" s="6"/>
      <c r="ZW195" s="6"/>
      <c r="ZX195" s="6"/>
      <c r="ZY195" s="6"/>
      <c r="ZZ195" s="6"/>
      <c r="AAA195" s="6"/>
      <c r="AAB195" s="6"/>
      <c r="AAC195" s="6"/>
      <c r="AAD195" s="6"/>
      <c r="AAE195" s="6"/>
      <c r="AAF195" s="6"/>
      <c r="AAG195" s="6"/>
      <c r="AAH195" s="6"/>
      <c r="AAI195" s="6"/>
      <c r="AAJ195" s="6"/>
      <c r="AAK195" s="6"/>
      <c r="AAL195" s="6"/>
      <c r="AAM195" s="6"/>
      <c r="AAN195" s="6"/>
      <c r="AAO195" s="6"/>
      <c r="AAP195" s="6"/>
      <c r="AAQ195" s="6"/>
      <c r="AAR195" s="6"/>
      <c r="AAS195" s="6"/>
      <c r="AAT195" s="6"/>
      <c r="AAU195" s="6"/>
      <c r="AAV195" s="6"/>
      <c r="AAW195" s="6"/>
      <c r="AAX195" s="6"/>
      <c r="AAY195" s="6"/>
      <c r="AAZ195" s="6"/>
      <c r="ABA195" s="6"/>
      <c r="ABB195" s="6"/>
      <c r="ABC195" s="6"/>
      <c r="ABD195" s="6"/>
      <c r="ABE195" s="6"/>
      <c r="ABF195" s="6"/>
      <c r="ABG195" s="6"/>
      <c r="ABH195" s="6"/>
      <c r="ABI195" s="6"/>
      <c r="ABJ195" s="6"/>
      <c r="ABK195" s="6"/>
      <c r="ABL195" s="6"/>
      <c r="ABM195" s="6"/>
      <c r="ABN195" s="6"/>
      <c r="ABO195" s="6"/>
      <c r="ABP195" s="6"/>
      <c r="ABQ195" s="6"/>
      <c r="ABR195" s="6"/>
      <c r="ABS195" s="6"/>
      <c r="ABT195" s="6"/>
      <c r="ABU195" s="6"/>
      <c r="ABV195" s="6"/>
      <c r="ABW195" s="6"/>
      <c r="ABX195" s="6"/>
      <c r="ABY195" s="6"/>
      <c r="ABZ195" s="6"/>
      <c r="ACA195" s="6"/>
      <c r="ACB195" s="6"/>
      <c r="ACC195" s="6"/>
      <c r="ACD195" s="6"/>
      <c r="ACE195" s="6"/>
      <c r="ACF195" s="6"/>
      <c r="ACG195" s="6"/>
      <c r="ACH195" s="6"/>
      <c r="ACI195" s="6"/>
      <c r="ACJ195" s="6"/>
      <c r="ACK195" s="6"/>
      <c r="ACL195" s="6"/>
      <c r="ACM195" s="6"/>
      <c r="ACN195" s="6"/>
      <c r="ACO195" s="6"/>
      <c r="ACP195" s="6"/>
      <c r="ACQ195" s="6"/>
      <c r="ACR195" s="6"/>
      <c r="ACS195" s="6"/>
      <c r="ACT195" s="6"/>
      <c r="ACU195" s="6"/>
      <c r="ACV195" s="6"/>
      <c r="ACW195" s="6"/>
      <c r="ACX195" s="6"/>
      <c r="ACY195" s="6"/>
      <c r="ACZ195" s="6"/>
      <c r="ADA195" s="6"/>
      <c r="ADB195" s="6"/>
      <c r="ADC195" s="6"/>
      <c r="ADD195" s="6"/>
      <c r="ADE195" s="6"/>
      <c r="ADF195" s="6"/>
      <c r="ADG195" s="6"/>
      <c r="ADH195" s="6"/>
      <c r="ADI195" s="6"/>
      <c r="ADJ195" s="6"/>
    </row>
    <row r="196" spans="1:790" s="291" customFormat="1" x14ac:dyDescent="0.3">
      <c r="A196" s="399"/>
      <c r="B196" s="575" t="s">
        <v>150</v>
      </c>
      <c r="C196" s="427"/>
      <c r="D196" s="427"/>
      <c r="E196" s="427"/>
      <c r="F196" s="427"/>
      <c r="G196" s="427"/>
      <c r="H196" s="427">
        <f>SUM(H192:H195)</f>
        <v>735.73111000000029</v>
      </c>
      <c r="I196" s="369" t="s">
        <v>22</v>
      </c>
      <c r="J196" s="403">
        <f>H196</f>
        <v>735.73111000000029</v>
      </c>
      <c r="K196" s="363">
        <v>5</v>
      </c>
      <c r="L196" s="370">
        <f t="shared" ref="L196" si="193">J196*K196</f>
        <v>3678.6555500000013</v>
      </c>
      <c r="M196" s="490">
        <f t="shared" ref="M196" si="194">K196*(100%-16.5%)</f>
        <v>4.1749999999999998</v>
      </c>
      <c r="N196" s="489">
        <f t="shared" si="138"/>
        <v>3071.6773842500011</v>
      </c>
      <c r="O196" s="308"/>
      <c r="Q196" s="497"/>
      <c r="R196" s="481">
        <f t="shared" si="148"/>
        <v>735.73111000000029</v>
      </c>
      <c r="S196" s="514">
        <v>2.5</v>
      </c>
      <c r="T196" s="515">
        <f t="shared" si="143"/>
        <v>1839.3277750000007</v>
      </c>
      <c r="U196" s="482">
        <f t="shared" si="144"/>
        <v>735.73111000000029</v>
      </c>
      <c r="V196" s="514"/>
      <c r="W196" s="515" t="str">
        <f t="shared" si="145"/>
        <v/>
      </c>
      <c r="X196" s="507">
        <f t="shared" ref="X196" si="195">V196+S196</f>
        <v>2.5</v>
      </c>
      <c r="Y196" s="520">
        <f t="shared" ref="Y196" si="196">M196-X196</f>
        <v>1.6749999999999998</v>
      </c>
      <c r="Z196" s="521">
        <f t="shared" ref="Z196" si="197">Y196/M196</f>
        <v>0.40119760479041916</v>
      </c>
      <c r="AA196" s="471"/>
      <c r="AB196" s="471"/>
      <c r="AC196" s="471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/>
      <c r="IQ196" s="6"/>
      <c r="IR196" s="6"/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6"/>
      <c r="KZ196" s="6"/>
      <c r="LA196" s="6"/>
      <c r="LB196" s="6"/>
      <c r="LC196" s="6"/>
      <c r="LD196" s="6"/>
      <c r="LE196" s="6"/>
      <c r="LF196" s="6"/>
      <c r="LG196" s="6"/>
      <c r="LH196" s="6"/>
      <c r="LI196" s="6"/>
      <c r="LJ196" s="6"/>
      <c r="LK196" s="6"/>
      <c r="LL196" s="6"/>
      <c r="LM196" s="6"/>
      <c r="LN196" s="6"/>
      <c r="LO196" s="6"/>
      <c r="LP196" s="6"/>
      <c r="LQ196" s="6"/>
      <c r="LR196" s="6"/>
      <c r="LS196" s="6"/>
      <c r="LT196" s="6"/>
      <c r="LU196" s="6"/>
      <c r="LV196" s="6"/>
      <c r="LW196" s="6"/>
      <c r="LX196" s="6"/>
      <c r="LY196" s="6"/>
      <c r="LZ196" s="6"/>
      <c r="MA196" s="6"/>
      <c r="MB196" s="6"/>
      <c r="MC196" s="6"/>
      <c r="MD196" s="6"/>
      <c r="ME196" s="6"/>
      <c r="MF196" s="6"/>
      <c r="MG196" s="6"/>
      <c r="MH196" s="6"/>
      <c r="MI196" s="6"/>
      <c r="MJ196" s="6"/>
      <c r="MK196" s="6"/>
      <c r="ML196" s="6"/>
      <c r="MM196" s="6"/>
      <c r="MN196" s="6"/>
      <c r="MO196" s="6"/>
      <c r="MP196" s="6"/>
      <c r="MQ196" s="6"/>
      <c r="MR196" s="6"/>
      <c r="MS196" s="6"/>
      <c r="MT196" s="6"/>
      <c r="MU196" s="6"/>
      <c r="MV196" s="6"/>
      <c r="MW196" s="6"/>
      <c r="MX196" s="6"/>
      <c r="MY196" s="6"/>
      <c r="MZ196" s="6"/>
      <c r="NA196" s="6"/>
      <c r="NB196" s="6"/>
      <c r="NC196" s="6"/>
      <c r="ND196" s="6"/>
      <c r="NE196" s="6"/>
      <c r="NF196" s="6"/>
      <c r="NG196" s="6"/>
      <c r="NH196" s="6"/>
      <c r="NI196" s="6"/>
      <c r="NJ196" s="6"/>
      <c r="NK196" s="6"/>
      <c r="NL196" s="6"/>
      <c r="NM196" s="6"/>
      <c r="NN196" s="6"/>
      <c r="NO196" s="6"/>
      <c r="NP196" s="6"/>
      <c r="NQ196" s="6"/>
      <c r="NR196" s="6"/>
      <c r="NS196" s="6"/>
      <c r="NT196" s="6"/>
      <c r="NU196" s="6"/>
      <c r="NV196" s="6"/>
      <c r="NW196" s="6"/>
      <c r="NX196" s="6"/>
      <c r="NY196" s="6"/>
      <c r="NZ196" s="6"/>
      <c r="OA196" s="6"/>
      <c r="OB196" s="6"/>
      <c r="OC196" s="6"/>
      <c r="OD196" s="6"/>
      <c r="OE196" s="6"/>
      <c r="OF196" s="6"/>
      <c r="OG196" s="6"/>
      <c r="OH196" s="6"/>
      <c r="OI196" s="6"/>
      <c r="OJ196" s="6"/>
      <c r="OK196" s="6"/>
      <c r="OL196" s="6"/>
      <c r="OM196" s="6"/>
      <c r="ON196" s="6"/>
      <c r="OO196" s="6"/>
      <c r="OP196" s="6"/>
      <c r="OQ196" s="6"/>
      <c r="OR196" s="6"/>
      <c r="OS196" s="6"/>
      <c r="OT196" s="6"/>
      <c r="OU196" s="6"/>
      <c r="OV196" s="6"/>
      <c r="OW196" s="6"/>
      <c r="OX196" s="6"/>
      <c r="OY196" s="6"/>
      <c r="OZ196" s="6"/>
      <c r="PA196" s="6"/>
      <c r="PB196" s="6"/>
      <c r="PC196" s="6"/>
      <c r="PD196" s="6"/>
      <c r="PE196" s="6"/>
      <c r="PF196" s="6"/>
      <c r="PG196" s="6"/>
      <c r="PH196" s="6"/>
      <c r="PI196" s="6"/>
      <c r="PJ196" s="6"/>
      <c r="PK196" s="6"/>
      <c r="PL196" s="6"/>
      <c r="PM196" s="6"/>
      <c r="PN196" s="6"/>
      <c r="PO196" s="6"/>
      <c r="PP196" s="6"/>
      <c r="PQ196" s="6"/>
      <c r="PR196" s="6"/>
      <c r="PS196" s="6"/>
      <c r="PT196" s="6"/>
      <c r="PU196" s="6"/>
      <c r="PV196" s="6"/>
      <c r="PW196" s="6"/>
      <c r="PX196" s="6"/>
      <c r="PY196" s="6"/>
      <c r="PZ196" s="6"/>
      <c r="QA196" s="6"/>
      <c r="QB196" s="6"/>
      <c r="QC196" s="6"/>
      <c r="QD196" s="6"/>
      <c r="QE196" s="6"/>
      <c r="QF196" s="6"/>
      <c r="QG196" s="6"/>
      <c r="QH196" s="6"/>
      <c r="QI196" s="6"/>
      <c r="QJ196" s="6"/>
      <c r="QK196" s="6"/>
      <c r="QL196" s="6"/>
      <c r="QM196" s="6"/>
      <c r="QN196" s="6"/>
      <c r="QO196" s="6"/>
      <c r="QP196" s="6"/>
      <c r="QQ196" s="6"/>
      <c r="QR196" s="6"/>
      <c r="QS196" s="6"/>
      <c r="QT196" s="6"/>
      <c r="QU196" s="6"/>
      <c r="QV196" s="6"/>
      <c r="QW196" s="6"/>
      <c r="QX196" s="6"/>
      <c r="QY196" s="6"/>
      <c r="QZ196" s="6"/>
      <c r="RA196" s="6"/>
      <c r="RB196" s="6"/>
      <c r="RC196" s="6"/>
      <c r="RD196" s="6"/>
      <c r="RE196" s="6"/>
      <c r="RF196" s="6"/>
      <c r="RG196" s="6"/>
      <c r="RH196" s="6"/>
      <c r="RI196" s="6"/>
      <c r="RJ196" s="6"/>
      <c r="RK196" s="6"/>
      <c r="RL196" s="6"/>
      <c r="RM196" s="6"/>
      <c r="RN196" s="6"/>
      <c r="RO196" s="6"/>
      <c r="RP196" s="6"/>
      <c r="RQ196" s="6"/>
      <c r="RR196" s="6"/>
      <c r="RS196" s="6"/>
      <c r="RT196" s="6"/>
      <c r="RU196" s="6"/>
      <c r="RV196" s="6"/>
      <c r="RW196" s="6"/>
      <c r="RX196" s="6"/>
      <c r="RY196" s="6"/>
      <c r="RZ196" s="6"/>
      <c r="SA196" s="6"/>
      <c r="SB196" s="6"/>
      <c r="SC196" s="6"/>
      <c r="SD196" s="6"/>
      <c r="SE196" s="6"/>
      <c r="SF196" s="6"/>
      <c r="SG196" s="6"/>
      <c r="SH196" s="6"/>
      <c r="SI196" s="6"/>
      <c r="SJ196" s="6"/>
      <c r="SK196" s="6"/>
      <c r="SL196" s="6"/>
      <c r="SM196" s="6"/>
      <c r="SN196" s="6"/>
      <c r="SO196" s="6"/>
      <c r="SP196" s="6"/>
      <c r="SQ196" s="6"/>
      <c r="SR196" s="6"/>
      <c r="SS196" s="6"/>
      <c r="ST196" s="6"/>
      <c r="SU196" s="6"/>
      <c r="SV196" s="6"/>
      <c r="SW196" s="6"/>
      <c r="SX196" s="6"/>
      <c r="SY196" s="6"/>
      <c r="SZ196" s="6"/>
      <c r="TA196" s="6"/>
      <c r="TB196" s="6"/>
      <c r="TC196" s="6"/>
      <c r="TD196" s="6"/>
      <c r="TE196" s="6"/>
      <c r="TF196" s="6"/>
      <c r="TG196" s="6"/>
      <c r="TH196" s="6"/>
      <c r="TI196" s="6"/>
      <c r="TJ196" s="6"/>
      <c r="TK196" s="6"/>
      <c r="TL196" s="6"/>
      <c r="TM196" s="6"/>
      <c r="TN196" s="6"/>
      <c r="TO196" s="6"/>
      <c r="TP196" s="6"/>
      <c r="TQ196" s="6"/>
      <c r="TR196" s="6"/>
      <c r="TS196" s="6"/>
      <c r="TT196" s="6"/>
      <c r="TU196" s="6"/>
      <c r="TV196" s="6"/>
      <c r="TW196" s="6"/>
      <c r="TX196" s="6"/>
      <c r="TY196" s="6"/>
      <c r="TZ196" s="6"/>
      <c r="UA196" s="6"/>
      <c r="UB196" s="6"/>
      <c r="UC196" s="6"/>
      <c r="UD196" s="6"/>
      <c r="UE196" s="6"/>
      <c r="UF196" s="6"/>
      <c r="UG196" s="6"/>
      <c r="UH196" s="6"/>
      <c r="UI196" s="6"/>
      <c r="UJ196" s="6"/>
      <c r="UK196" s="6"/>
      <c r="UL196" s="6"/>
      <c r="UM196" s="6"/>
      <c r="UN196" s="6"/>
      <c r="UO196" s="6"/>
      <c r="UP196" s="6"/>
      <c r="UQ196" s="6"/>
      <c r="UR196" s="6"/>
      <c r="US196" s="6"/>
      <c r="UT196" s="6"/>
      <c r="UU196" s="6"/>
      <c r="UV196" s="6"/>
      <c r="UW196" s="6"/>
      <c r="UX196" s="6"/>
      <c r="UY196" s="6"/>
      <c r="UZ196" s="6"/>
      <c r="VA196" s="6"/>
      <c r="VB196" s="6"/>
      <c r="VC196" s="6"/>
      <c r="VD196" s="6"/>
      <c r="VE196" s="6"/>
      <c r="VF196" s="6"/>
      <c r="VG196" s="6"/>
      <c r="VH196" s="6"/>
      <c r="VI196" s="6"/>
      <c r="VJ196" s="6"/>
      <c r="VK196" s="6"/>
      <c r="VL196" s="6"/>
      <c r="VM196" s="6"/>
      <c r="VN196" s="6"/>
      <c r="VO196" s="6"/>
      <c r="VP196" s="6"/>
      <c r="VQ196" s="6"/>
      <c r="VR196" s="6"/>
      <c r="VS196" s="6"/>
      <c r="VT196" s="6"/>
      <c r="VU196" s="6"/>
      <c r="VV196" s="6"/>
      <c r="VW196" s="6"/>
      <c r="VX196" s="6"/>
      <c r="VY196" s="6"/>
      <c r="VZ196" s="6"/>
      <c r="WA196" s="6"/>
      <c r="WB196" s="6"/>
      <c r="WC196" s="6"/>
      <c r="WD196" s="6"/>
      <c r="WE196" s="6"/>
      <c r="WF196" s="6"/>
      <c r="WG196" s="6"/>
      <c r="WH196" s="6"/>
      <c r="WI196" s="6"/>
      <c r="WJ196" s="6"/>
      <c r="WK196" s="6"/>
      <c r="WL196" s="6"/>
      <c r="WM196" s="6"/>
      <c r="WN196" s="6"/>
      <c r="WO196" s="6"/>
      <c r="WP196" s="6"/>
      <c r="WQ196" s="6"/>
      <c r="WR196" s="6"/>
      <c r="WS196" s="6"/>
      <c r="WT196" s="6"/>
      <c r="WU196" s="6"/>
      <c r="WV196" s="6"/>
      <c r="WW196" s="6"/>
      <c r="WX196" s="6"/>
      <c r="WY196" s="6"/>
      <c r="WZ196" s="6"/>
      <c r="XA196" s="6"/>
      <c r="XB196" s="6"/>
      <c r="XC196" s="6"/>
      <c r="XD196" s="6"/>
      <c r="XE196" s="6"/>
      <c r="XF196" s="6"/>
      <c r="XG196" s="6"/>
      <c r="XH196" s="6"/>
      <c r="XI196" s="6"/>
      <c r="XJ196" s="6"/>
      <c r="XK196" s="6"/>
      <c r="XL196" s="6"/>
      <c r="XM196" s="6"/>
      <c r="XN196" s="6"/>
      <c r="XO196" s="6"/>
      <c r="XP196" s="6"/>
      <c r="XQ196" s="6"/>
      <c r="XR196" s="6"/>
      <c r="XS196" s="6"/>
      <c r="XT196" s="6"/>
      <c r="XU196" s="6"/>
      <c r="XV196" s="6"/>
      <c r="XW196" s="6"/>
      <c r="XX196" s="6"/>
      <c r="XY196" s="6"/>
      <c r="XZ196" s="6"/>
      <c r="YA196" s="6"/>
      <c r="YB196" s="6"/>
      <c r="YC196" s="6"/>
      <c r="YD196" s="6"/>
      <c r="YE196" s="6"/>
      <c r="YF196" s="6"/>
      <c r="YG196" s="6"/>
      <c r="YH196" s="6"/>
      <c r="YI196" s="6"/>
      <c r="YJ196" s="6"/>
      <c r="YK196" s="6"/>
      <c r="YL196" s="6"/>
      <c r="YM196" s="6"/>
      <c r="YN196" s="6"/>
      <c r="YO196" s="6"/>
      <c r="YP196" s="6"/>
      <c r="YQ196" s="6"/>
      <c r="YR196" s="6"/>
      <c r="YS196" s="6"/>
      <c r="YT196" s="6"/>
      <c r="YU196" s="6"/>
      <c r="YV196" s="6"/>
      <c r="YW196" s="6"/>
      <c r="YX196" s="6"/>
      <c r="YY196" s="6"/>
      <c r="YZ196" s="6"/>
      <c r="ZA196" s="6"/>
      <c r="ZB196" s="6"/>
      <c r="ZC196" s="6"/>
      <c r="ZD196" s="6"/>
      <c r="ZE196" s="6"/>
      <c r="ZF196" s="6"/>
      <c r="ZG196" s="6"/>
      <c r="ZH196" s="6"/>
      <c r="ZI196" s="6"/>
      <c r="ZJ196" s="6"/>
      <c r="ZK196" s="6"/>
      <c r="ZL196" s="6"/>
      <c r="ZM196" s="6"/>
      <c r="ZN196" s="6"/>
      <c r="ZO196" s="6"/>
      <c r="ZP196" s="6"/>
      <c r="ZQ196" s="6"/>
      <c r="ZR196" s="6"/>
      <c r="ZS196" s="6"/>
      <c r="ZT196" s="6"/>
      <c r="ZU196" s="6"/>
      <c r="ZV196" s="6"/>
      <c r="ZW196" s="6"/>
      <c r="ZX196" s="6"/>
      <c r="ZY196" s="6"/>
      <c r="ZZ196" s="6"/>
      <c r="AAA196" s="6"/>
      <c r="AAB196" s="6"/>
      <c r="AAC196" s="6"/>
      <c r="AAD196" s="6"/>
      <c r="AAE196" s="6"/>
      <c r="AAF196" s="6"/>
      <c r="AAG196" s="6"/>
      <c r="AAH196" s="6"/>
      <c r="AAI196" s="6"/>
      <c r="AAJ196" s="6"/>
      <c r="AAK196" s="6"/>
      <c r="AAL196" s="6"/>
      <c r="AAM196" s="6"/>
      <c r="AAN196" s="6"/>
      <c r="AAO196" s="6"/>
      <c r="AAP196" s="6"/>
      <c r="AAQ196" s="6"/>
      <c r="AAR196" s="6"/>
      <c r="AAS196" s="6"/>
      <c r="AAT196" s="6"/>
      <c r="AAU196" s="6"/>
      <c r="AAV196" s="6"/>
      <c r="AAW196" s="6"/>
      <c r="AAX196" s="6"/>
      <c r="AAY196" s="6"/>
      <c r="AAZ196" s="6"/>
      <c r="ABA196" s="6"/>
      <c r="ABB196" s="6"/>
      <c r="ABC196" s="6"/>
      <c r="ABD196" s="6"/>
      <c r="ABE196" s="6"/>
      <c r="ABF196" s="6"/>
      <c r="ABG196" s="6"/>
      <c r="ABH196" s="6"/>
      <c r="ABI196" s="6"/>
      <c r="ABJ196" s="6"/>
      <c r="ABK196" s="6"/>
      <c r="ABL196" s="6"/>
      <c r="ABM196" s="6"/>
      <c r="ABN196" s="6"/>
      <c r="ABO196" s="6"/>
      <c r="ABP196" s="6"/>
      <c r="ABQ196" s="6"/>
      <c r="ABR196" s="6"/>
      <c r="ABS196" s="6"/>
      <c r="ABT196" s="6"/>
      <c r="ABU196" s="6"/>
      <c r="ABV196" s="6"/>
      <c r="ABW196" s="6"/>
      <c r="ABX196" s="6"/>
      <c r="ABY196" s="6"/>
      <c r="ABZ196" s="6"/>
      <c r="ACA196" s="6"/>
      <c r="ACB196" s="6"/>
      <c r="ACC196" s="6"/>
      <c r="ACD196" s="6"/>
      <c r="ACE196" s="6"/>
      <c r="ACF196" s="6"/>
      <c r="ACG196" s="6"/>
      <c r="ACH196" s="6"/>
      <c r="ACI196" s="6"/>
      <c r="ACJ196" s="6"/>
      <c r="ACK196" s="6"/>
      <c r="ACL196" s="6"/>
      <c r="ACM196" s="6"/>
      <c r="ACN196" s="6"/>
      <c r="ACO196" s="6"/>
      <c r="ACP196" s="6"/>
      <c r="ACQ196" s="6"/>
      <c r="ACR196" s="6"/>
      <c r="ACS196" s="6"/>
      <c r="ACT196" s="6"/>
      <c r="ACU196" s="6"/>
      <c r="ACV196" s="6"/>
      <c r="ACW196" s="6"/>
      <c r="ACX196" s="6"/>
      <c r="ACY196" s="6"/>
      <c r="ACZ196" s="6"/>
      <c r="ADA196" s="6"/>
      <c r="ADB196" s="6"/>
      <c r="ADC196" s="6"/>
      <c r="ADD196" s="6"/>
      <c r="ADE196" s="6"/>
      <c r="ADF196" s="6"/>
      <c r="ADG196" s="6"/>
      <c r="ADH196" s="6"/>
      <c r="ADI196" s="6"/>
      <c r="ADJ196" s="6"/>
    </row>
    <row r="197" spans="1:790" s="291" customFormat="1" x14ac:dyDescent="0.3">
      <c r="A197" s="399"/>
      <c r="B197" s="430"/>
      <c r="C197" s="366"/>
      <c r="D197" s="367"/>
      <c r="E197" s="367"/>
      <c r="F197" s="362"/>
      <c r="G197" s="362"/>
      <c r="H197" s="362"/>
      <c r="I197" s="369"/>
      <c r="J197" s="362"/>
      <c r="K197" s="363"/>
      <c r="L197" s="370"/>
      <c r="M197" s="490"/>
      <c r="N197" s="489" t="str">
        <f t="shared" si="138"/>
        <v/>
      </c>
      <c r="O197" s="308"/>
      <c r="Q197" s="497"/>
      <c r="R197" s="481"/>
      <c r="S197" s="514"/>
      <c r="T197" s="515" t="str">
        <f t="shared" si="143"/>
        <v/>
      </c>
      <c r="U197" s="482" t="str">
        <f t="shared" si="144"/>
        <v/>
      </c>
      <c r="V197" s="514"/>
      <c r="W197" s="515" t="str">
        <f t="shared" si="145"/>
        <v/>
      </c>
      <c r="X197" s="507"/>
      <c r="Y197" s="507"/>
      <c r="Z197" s="478"/>
      <c r="AA197" s="471"/>
      <c r="AB197" s="471"/>
      <c r="AC197" s="471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J197" s="6"/>
      <c r="IK197" s="6"/>
      <c r="IL197" s="6"/>
      <c r="IM197" s="6"/>
      <c r="IN197" s="6"/>
      <c r="IO197" s="6"/>
      <c r="IP197" s="6"/>
      <c r="IQ197" s="6"/>
      <c r="IR197" s="6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6"/>
      <c r="KZ197" s="6"/>
      <c r="LA197" s="6"/>
      <c r="LB197" s="6"/>
      <c r="LC197" s="6"/>
      <c r="LD197" s="6"/>
      <c r="LE197" s="6"/>
      <c r="LF197" s="6"/>
      <c r="LG197" s="6"/>
      <c r="LH197" s="6"/>
      <c r="LI197" s="6"/>
      <c r="LJ197" s="6"/>
      <c r="LK197" s="6"/>
      <c r="LL197" s="6"/>
      <c r="LM197" s="6"/>
      <c r="LN197" s="6"/>
      <c r="LO197" s="6"/>
      <c r="LP197" s="6"/>
      <c r="LQ197" s="6"/>
      <c r="LR197" s="6"/>
      <c r="LS197" s="6"/>
      <c r="LT197" s="6"/>
      <c r="LU197" s="6"/>
      <c r="LV197" s="6"/>
      <c r="LW197" s="6"/>
      <c r="LX197" s="6"/>
      <c r="LY197" s="6"/>
      <c r="LZ197" s="6"/>
      <c r="MA197" s="6"/>
      <c r="MB197" s="6"/>
      <c r="MC197" s="6"/>
      <c r="MD197" s="6"/>
      <c r="ME197" s="6"/>
      <c r="MF197" s="6"/>
      <c r="MG197" s="6"/>
      <c r="MH197" s="6"/>
      <c r="MI197" s="6"/>
      <c r="MJ197" s="6"/>
      <c r="MK197" s="6"/>
      <c r="ML197" s="6"/>
      <c r="MM197" s="6"/>
      <c r="MN197" s="6"/>
      <c r="MO197" s="6"/>
      <c r="MP197" s="6"/>
      <c r="MQ197" s="6"/>
      <c r="MR197" s="6"/>
      <c r="MS197" s="6"/>
      <c r="MT197" s="6"/>
      <c r="MU197" s="6"/>
      <c r="MV197" s="6"/>
      <c r="MW197" s="6"/>
      <c r="MX197" s="6"/>
      <c r="MY197" s="6"/>
      <c r="MZ197" s="6"/>
      <c r="NA197" s="6"/>
      <c r="NB197" s="6"/>
      <c r="NC197" s="6"/>
      <c r="ND197" s="6"/>
      <c r="NE197" s="6"/>
      <c r="NF197" s="6"/>
      <c r="NG197" s="6"/>
      <c r="NH197" s="6"/>
      <c r="NI197" s="6"/>
      <c r="NJ197" s="6"/>
      <c r="NK197" s="6"/>
      <c r="NL197" s="6"/>
      <c r="NM197" s="6"/>
      <c r="NN197" s="6"/>
      <c r="NO197" s="6"/>
      <c r="NP197" s="6"/>
      <c r="NQ197" s="6"/>
      <c r="NR197" s="6"/>
      <c r="NS197" s="6"/>
      <c r="NT197" s="6"/>
      <c r="NU197" s="6"/>
      <c r="NV197" s="6"/>
      <c r="NW197" s="6"/>
      <c r="NX197" s="6"/>
      <c r="NY197" s="6"/>
      <c r="NZ197" s="6"/>
      <c r="OA197" s="6"/>
      <c r="OB197" s="6"/>
      <c r="OC197" s="6"/>
      <c r="OD197" s="6"/>
      <c r="OE197" s="6"/>
      <c r="OF197" s="6"/>
      <c r="OG197" s="6"/>
      <c r="OH197" s="6"/>
      <c r="OI197" s="6"/>
      <c r="OJ197" s="6"/>
      <c r="OK197" s="6"/>
      <c r="OL197" s="6"/>
      <c r="OM197" s="6"/>
      <c r="ON197" s="6"/>
      <c r="OO197" s="6"/>
      <c r="OP197" s="6"/>
      <c r="OQ197" s="6"/>
      <c r="OR197" s="6"/>
      <c r="OS197" s="6"/>
      <c r="OT197" s="6"/>
      <c r="OU197" s="6"/>
      <c r="OV197" s="6"/>
      <c r="OW197" s="6"/>
      <c r="OX197" s="6"/>
      <c r="OY197" s="6"/>
      <c r="OZ197" s="6"/>
      <c r="PA197" s="6"/>
      <c r="PB197" s="6"/>
      <c r="PC197" s="6"/>
      <c r="PD197" s="6"/>
      <c r="PE197" s="6"/>
      <c r="PF197" s="6"/>
      <c r="PG197" s="6"/>
      <c r="PH197" s="6"/>
      <c r="PI197" s="6"/>
      <c r="PJ197" s="6"/>
      <c r="PK197" s="6"/>
      <c r="PL197" s="6"/>
      <c r="PM197" s="6"/>
      <c r="PN197" s="6"/>
      <c r="PO197" s="6"/>
      <c r="PP197" s="6"/>
      <c r="PQ197" s="6"/>
      <c r="PR197" s="6"/>
      <c r="PS197" s="6"/>
      <c r="PT197" s="6"/>
      <c r="PU197" s="6"/>
      <c r="PV197" s="6"/>
      <c r="PW197" s="6"/>
      <c r="PX197" s="6"/>
      <c r="PY197" s="6"/>
      <c r="PZ197" s="6"/>
      <c r="QA197" s="6"/>
      <c r="QB197" s="6"/>
      <c r="QC197" s="6"/>
      <c r="QD197" s="6"/>
      <c r="QE197" s="6"/>
      <c r="QF197" s="6"/>
      <c r="QG197" s="6"/>
      <c r="QH197" s="6"/>
      <c r="QI197" s="6"/>
      <c r="QJ197" s="6"/>
      <c r="QK197" s="6"/>
      <c r="QL197" s="6"/>
      <c r="QM197" s="6"/>
      <c r="QN197" s="6"/>
      <c r="QO197" s="6"/>
      <c r="QP197" s="6"/>
      <c r="QQ197" s="6"/>
      <c r="QR197" s="6"/>
      <c r="QS197" s="6"/>
      <c r="QT197" s="6"/>
      <c r="QU197" s="6"/>
      <c r="QV197" s="6"/>
      <c r="QW197" s="6"/>
      <c r="QX197" s="6"/>
      <c r="QY197" s="6"/>
      <c r="QZ197" s="6"/>
      <c r="RA197" s="6"/>
      <c r="RB197" s="6"/>
      <c r="RC197" s="6"/>
      <c r="RD197" s="6"/>
      <c r="RE197" s="6"/>
      <c r="RF197" s="6"/>
      <c r="RG197" s="6"/>
      <c r="RH197" s="6"/>
      <c r="RI197" s="6"/>
      <c r="RJ197" s="6"/>
      <c r="RK197" s="6"/>
      <c r="RL197" s="6"/>
      <c r="RM197" s="6"/>
      <c r="RN197" s="6"/>
      <c r="RO197" s="6"/>
      <c r="RP197" s="6"/>
      <c r="RQ197" s="6"/>
      <c r="RR197" s="6"/>
      <c r="RS197" s="6"/>
      <c r="RT197" s="6"/>
      <c r="RU197" s="6"/>
      <c r="RV197" s="6"/>
      <c r="RW197" s="6"/>
      <c r="RX197" s="6"/>
      <c r="RY197" s="6"/>
      <c r="RZ197" s="6"/>
      <c r="SA197" s="6"/>
      <c r="SB197" s="6"/>
      <c r="SC197" s="6"/>
      <c r="SD197" s="6"/>
      <c r="SE197" s="6"/>
      <c r="SF197" s="6"/>
      <c r="SG197" s="6"/>
      <c r="SH197" s="6"/>
      <c r="SI197" s="6"/>
      <c r="SJ197" s="6"/>
      <c r="SK197" s="6"/>
      <c r="SL197" s="6"/>
      <c r="SM197" s="6"/>
      <c r="SN197" s="6"/>
      <c r="SO197" s="6"/>
      <c r="SP197" s="6"/>
      <c r="SQ197" s="6"/>
      <c r="SR197" s="6"/>
      <c r="SS197" s="6"/>
      <c r="ST197" s="6"/>
      <c r="SU197" s="6"/>
      <c r="SV197" s="6"/>
      <c r="SW197" s="6"/>
      <c r="SX197" s="6"/>
      <c r="SY197" s="6"/>
      <c r="SZ197" s="6"/>
      <c r="TA197" s="6"/>
      <c r="TB197" s="6"/>
      <c r="TC197" s="6"/>
      <c r="TD197" s="6"/>
      <c r="TE197" s="6"/>
      <c r="TF197" s="6"/>
      <c r="TG197" s="6"/>
      <c r="TH197" s="6"/>
      <c r="TI197" s="6"/>
      <c r="TJ197" s="6"/>
      <c r="TK197" s="6"/>
      <c r="TL197" s="6"/>
      <c r="TM197" s="6"/>
      <c r="TN197" s="6"/>
      <c r="TO197" s="6"/>
      <c r="TP197" s="6"/>
      <c r="TQ197" s="6"/>
      <c r="TR197" s="6"/>
      <c r="TS197" s="6"/>
      <c r="TT197" s="6"/>
      <c r="TU197" s="6"/>
      <c r="TV197" s="6"/>
      <c r="TW197" s="6"/>
      <c r="TX197" s="6"/>
      <c r="TY197" s="6"/>
      <c r="TZ197" s="6"/>
      <c r="UA197" s="6"/>
      <c r="UB197" s="6"/>
      <c r="UC197" s="6"/>
      <c r="UD197" s="6"/>
      <c r="UE197" s="6"/>
      <c r="UF197" s="6"/>
      <c r="UG197" s="6"/>
      <c r="UH197" s="6"/>
      <c r="UI197" s="6"/>
      <c r="UJ197" s="6"/>
      <c r="UK197" s="6"/>
      <c r="UL197" s="6"/>
      <c r="UM197" s="6"/>
      <c r="UN197" s="6"/>
      <c r="UO197" s="6"/>
      <c r="UP197" s="6"/>
      <c r="UQ197" s="6"/>
      <c r="UR197" s="6"/>
      <c r="US197" s="6"/>
      <c r="UT197" s="6"/>
      <c r="UU197" s="6"/>
      <c r="UV197" s="6"/>
      <c r="UW197" s="6"/>
      <c r="UX197" s="6"/>
      <c r="UY197" s="6"/>
      <c r="UZ197" s="6"/>
      <c r="VA197" s="6"/>
      <c r="VB197" s="6"/>
      <c r="VC197" s="6"/>
      <c r="VD197" s="6"/>
      <c r="VE197" s="6"/>
      <c r="VF197" s="6"/>
      <c r="VG197" s="6"/>
      <c r="VH197" s="6"/>
      <c r="VI197" s="6"/>
      <c r="VJ197" s="6"/>
      <c r="VK197" s="6"/>
      <c r="VL197" s="6"/>
      <c r="VM197" s="6"/>
      <c r="VN197" s="6"/>
      <c r="VO197" s="6"/>
      <c r="VP197" s="6"/>
      <c r="VQ197" s="6"/>
      <c r="VR197" s="6"/>
      <c r="VS197" s="6"/>
      <c r="VT197" s="6"/>
      <c r="VU197" s="6"/>
      <c r="VV197" s="6"/>
      <c r="VW197" s="6"/>
      <c r="VX197" s="6"/>
      <c r="VY197" s="6"/>
      <c r="VZ197" s="6"/>
      <c r="WA197" s="6"/>
      <c r="WB197" s="6"/>
      <c r="WC197" s="6"/>
      <c r="WD197" s="6"/>
      <c r="WE197" s="6"/>
      <c r="WF197" s="6"/>
      <c r="WG197" s="6"/>
      <c r="WH197" s="6"/>
      <c r="WI197" s="6"/>
      <c r="WJ197" s="6"/>
      <c r="WK197" s="6"/>
      <c r="WL197" s="6"/>
      <c r="WM197" s="6"/>
      <c r="WN197" s="6"/>
      <c r="WO197" s="6"/>
      <c r="WP197" s="6"/>
      <c r="WQ197" s="6"/>
      <c r="WR197" s="6"/>
      <c r="WS197" s="6"/>
      <c r="WT197" s="6"/>
      <c r="WU197" s="6"/>
      <c r="WV197" s="6"/>
      <c r="WW197" s="6"/>
      <c r="WX197" s="6"/>
      <c r="WY197" s="6"/>
      <c r="WZ197" s="6"/>
      <c r="XA197" s="6"/>
      <c r="XB197" s="6"/>
      <c r="XC197" s="6"/>
      <c r="XD197" s="6"/>
      <c r="XE197" s="6"/>
      <c r="XF197" s="6"/>
      <c r="XG197" s="6"/>
      <c r="XH197" s="6"/>
      <c r="XI197" s="6"/>
      <c r="XJ197" s="6"/>
      <c r="XK197" s="6"/>
      <c r="XL197" s="6"/>
      <c r="XM197" s="6"/>
      <c r="XN197" s="6"/>
      <c r="XO197" s="6"/>
      <c r="XP197" s="6"/>
      <c r="XQ197" s="6"/>
      <c r="XR197" s="6"/>
      <c r="XS197" s="6"/>
      <c r="XT197" s="6"/>
      <c r="XU197" s="6"/>
      <c r="XV197" s="6"/>
      <c r="XW197" s="6"/>
      <c r="XX197" s="6"/>
      <c r="XY197" s="6"/>
      <c r="XZ197" s="6"/>
      <c r="YA197" s="6"/>
      <c r="YB197" s="6"/>
      <c r="YC197" s="6"/>
      <c r="YD197" s="6"/>
      <c r="YE197" s="6"/>
      <c r="YF197" s="6"/>
      <c r="YG197" s="6"/>
      <c r="YH197" s="6"/>
      <c r="YI197" s="6"/>
      <c r="YJ197" s="6"/>
      <c r="YK197" s="6"/>
      <c r="YL197" s="6"/>
      <c r="YM197" s="6"/>
      <c r="YN197" s="6"/>
      <c r="YO197" s="6"/>
      <c r="YP197" s="6"/>
      <c r="YQ197" s="6"/>
      <c r="YR197" s="6"/>
      <c r="YS197" s="6"/>
      <c r="YT197" s="6"/>
      <c r="YU197" s="6"/>
      <c r="YV197" s="6"/>
      <c r="YW197" s="6"/>
      <c r="YX197" s="6"/>
      <c r="YY197" s="6"/>
      <c r="YZ197" s="6"/>
      <c r="ZA197" s="6"/>
      <c r="ZB197" s="6"/>
      <c r="ZC197" s="6"/>
      <c r="ZD197" s="6"/>
      <c r="ZE197" s="6"/>
      <c r="ZF197" s="6"/>
      <c r="ZG197" s="6"/>
      <c r="ZH197" s="6"/>
      <c r="ZI197" s="6"/>
      <c r="ZJ197" s="6"/>
      <c r="ZK197" s="6"/>
      <c r="ZL197" s="6"/>
      <c r="ZM197" s="6"/>
      <c r="ZN197" s="6"/>
      <c r="ZO197" s="6"/>
      <c r="ZP197" s="6"/>
      <c r="ZQ197" s="6"/>
      <c r="ZR197" s="6"/>
      <c r="ZS197" s="6"/>
      <c r="ZT197" s="6"/>
      <c r="ZU197" s="6"/>
      <c r="ZV197" s="6"/>
      <c r="ZW197" s="6"/>
      <c r="ZX197" s="6"/>
      <c r="ZY197" s="6"/>
      <c r="ZZ197" s="6"/>
      <c r="AAA197" s="6"/>
      <c r="AAB197" s="6"/>
      <c r="AAC197" s="6"/>
      <c r="AAD197" s="6"/>
      <c r="AAE197" s="6"/>
      <c r="AAF197" s="6"/>
      <c r="AAG197" s="6"/>
      <c r="AAH197" s="6"/>
      <c r="AAI197" s="6"/>
      <c r="AAJ197" s="6"/>
      <c r="AAK197" s="6"/>
      <c r="AAL197" s="6"/>
      <c r="AAM197" s="6"/>
      <c r="AAN197" s="6"/>
      <c r="AAO197" s="6"/>
      <c r="AAP197" s="6"/>
      <c r="AAQ197" s="6"/>
      <c r="AAR197" s="6"/>
      <c r="AAS197" s="6"/>
      <c r="AAT197" s="6"/>
      <c r="AAU197" s="6"/>
      <c r="AAV197" s="6"/>
      <c r="AAW197" s="6"/>
      <c r="AAX197" s="6"/>
      <c r="AAY197" s="6"/>
      <c r="AAZ197" s="6"/>
      <c r="ABA197" s="6"/>
      <c r="ABB197" s="6"/>
      <c r="ABC197" s="6"/>
      <c r="ABD197" s="6"/>
      <c r="ABE197" s="6"/>
      <c r="ABF197" s="6"/>
      <c r="ABG197" s="6"/>
      <c r="ABH197" s="6"/>
      <c r="ABI197" s="6"/>
      <c r="ABJ197" s="6"/>
      <c r="ABK197" s="6"/>
      <c r="ABL197" s="6"/>
      <c r="ABM197" s="6"/>
      <c r="ABN197" s="6"/>
      <c r="ABO197" s="6"/>
      <c r="ABP197" s="6"/>
      <c r="ABQ197" s="6"/>
      <c r="ABR197" s="6"/>
      <c r="ABS197" s="6"/>
      <c r="ABT197" s="6"/>
      <c r="ABU197" s="6"/>
      <c r="ABV197" s="6"/>
      <c r="ABW197" s="6"/>
      <c r="ABX197" s="6"/>
      <c r="ABY197" s="6"/>
      <c r="ABZ197" s="6"/>
      <c r="ACA197" s="6"/>
      <c r="ACB197" s="6"/>
      <c r="ACC197" s="6"/>
      <c r="ACD197" s="6"/>
      <c r="ACE197" s="6"/>
      <c r="ACF197" s="6"/>
      <c r="ACG197" s="6"/>
      <c r="ACH197" s="6"/>
      <c r="ACI197" s="6"/>
      <c r="ACJ197" s="6"/>
      <c r="ACK197" s="6"/>
      <c r="ACL197" s="6"/>
      <c r="ACM197" s="6"/>
      <c r="ACN197" s="6"/>
      <c r="ACO197" s="6"/>
      <c r="ACP197" s="6"/>
      <c r="ACQ197" s="6"/>
      <c r="ACR197" s="6"/>
      <c r="ACS197" s="6"/>
      <c r="ACT197" s="6"/>
      <c r="ACU197" s="6"/>
      <c r="ACV197" s="6"/>
      <c r="ACW197" s="6"/>
      <c r="ACX197" s="6"/>
      <c r="ACY197" s="6"/>
      <c r="ACZ197" s="6"/>
      <c r="ADA197" s="6"/>
      <c r="ADB197" s="6"/>
      <c r="ADC197" s="6"/>
      <c r="ADD197" s="6"/>
      <c r="ADE197" s="6"/>
      <c r="ADF197" s="6"/>
      <c r="ADG197" s="6"/>
      <c r="ADH197" s="6"/>
      <c r="ADI197" s="6"/>
      <c r="ADJ197" s="6"/>
    </row>
    <row r="198" spans="1:790" s="291" customFormat="1" x14ac:dyDescent="0.3">
      <c r="A198" s="399"/>
      <c r="B198" s="562" t="s">
        <v>122</v>
      </c>
      <c r="C198" s="366"/>
      <c r="D198" s="367"/>
      <c r="E198" s="367"/>
      <c r="F198" s="362"/>
      <c r="G198" s="362"/>
      <c r="H198" s="362"/>
      <c r="I198" s="369"/>
      <c r="J198" s="362"/>
      <c r="K198" s="363"/>
      <c r="L198" s="370"/>
      <c r="M198" s="490"/>
      <c r="N198" s="489" t="str">
        <f t="shared" si="138"/>
        <v/>
      </c>
      <c r="O198" s="308"/>
      <c r="Q198" s="497"/>
      <c r="R198" s="481"/>
      <c r="S198" s="514"/>
      <c r="T198" s="515" t="str">
        <f t="shared" si="143"/>
        <v/>
      </c>
      <c r="U198" s="482" t="str">
        <f t="shared" si="144"/>
        <v/>
      </c>
      <c r="V198" s="514"/>
      <c r="W198" s="515" t="str">
        <f t="shared" si="145"/>
        <v/>
      </c>
      <c r="X198" s="507"/>
      <c r="Y198" s="507"/>
      <c r="Z198" s="478"/>
      <c r="AA198" s="471"/>
      <c r="AB198" s="471"/>
      <c r="AC198" s="471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J198" s="6"/>
      <c r="IK198" s="6"/>
      <c r="IL198" s="6"/>
      <c r="IM198" s="6"/>
      <c r="IN198" s="6"/>
      <c r="IO198" s="6"/>
      <c r="IP198" s="6"/>
      <c r="IQ198" s="6"/>
      <c r="IR198" s="6"/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6"/>
      <c r="KZ198" s="6"/>
      <c r="LA198" s="6"/>
      <c r="LB198" s="6"/>
      <c r="LC198" s="6"/>
      <c r="LD198" s="6"/>
      <c r="LE198" s="6"/>
      <c r="LF198" s="6"/>
      <c r="LG198" s="6"/>
      <c r="LH198" s="6"/>
      <c r="LI198" s="6"/>
      <c r="LJ198" s="6"/>
      <c r="LK198" s="6"/>
      <c r="LL198" s="6"/>
      <c r="LM198" s="6"/>
      <c r="LN198" s="6"/>
      <c r="LO198" s="6"/>
      <c r="LP198" s="6"/>
      <c r="LQ198" s="6"/>
      <c r="LR198" s="6"/>
      <c r="LS198" s="6"/>
      <c r="LT198" s="6"/>
      <c r="LU198" s="6"/>
      <c r="LV198" s="6"/>
      <c r="LW198" s="6"/>
      <c r="LX198" s="6"/>
      <c r="LY198" s="6"/>
      <c r="LZ198" s="6"/>
      <c r="MA198" s="6"/>
      <c r="MB198" s="6"/>
      <c r="MC198" s="6"/>
      <c r="MD198" s="6"/>
      <c r="ME198" s="6"/>
      <c r="MF198" s="6"/>
      <c r="MG198" s="6"/>
      <c r="MH198" s="6"/>
      <c r="MI198" s="6"/>
      <c r="MJ198" s="6"/>
      <c r="MK198" s="6"/>
      <c r="ML198" s="6"/>
      <c r="MM198" s="6"/>
      <c r="MN198" s="6"/>
      <c r="MO198" s="6"/>
      <c r="MP198" s="6"/>
      <c r="MQ198" s="6"/>
      <c r="MR198" s="6"/>
      <c r="MS198" s="6"/>
      <c r="MT198" s="6"/>
      <c r="MU198" s="6"/>
      <c r="MV198" s="6"/>
      <c r="MW198" s="6"/>
      <c r="MX198" s="6"/>
      <c r="MY198" s="6"/>
      <c r="MZ198" s="6"/>
      <c r="NA198" s="6"/>
      <c r="NB198" s="6"/>
      <c r="NC198" s="6"/>
      <c r="ND198" s="6"/>
      <c r="NE198" s="6"/>
      <c r="NF198" s="6"/>
      <c r="NG198" s="6"/>
      <c r="NH198" s="6"/>
      <c r="NI198" s="6"/>
      <c r="NJ198" s="6"/>
      <c r="NK198" s="6"/>
      <c r="NL198" s="6"/>
      <c r="NM198" s="6"/>
      <c r="NN198" s="6"/>
      <c r="NO198" s="6"/>
      <c r="NP198" s="6"/>
      <c r="NQ198" s="6"/>
      <c r="NR198" s="6"/>
      <c r="NS198" s="6"/>
      <c r="NT198" s="6"/>
      <c r="NU198" s="6"/>
      <c r="NV198" s="6"/>
      <c r="NW198" s="6"/>
      <c r="NX198" s="6"/>
      <c r="NY198" s="6"/>
      <c r="NZ198" s="6"/>
      <c r="OA198" s="6"/>
      <c r="OB198" s="6"/>
      <c r="OC198" s="6"/>
      <c r="OD198" s="6"/>
      <c r="OE198" s="6"/>
      <c r="OF198" s="6"/>
      <c r="OG198" s="6"/>
      <c r="OH198" s="6"/>
      <c r="OI198" s="6"/>
      <c r="OJ198" s="6"/>
      <c r="OK198" s="6"/>
      <c r="OL198" s="6"/>
      <c r="OM198" s="6"/>
      <c r="ON198" s="6"/>
      <c r="OO198" s="6"/>
      <c r="OP198" s="6"/>
      <c r="OQ198" s="6"/>
      <c r="OR198" s="6"/>
      <c r="OS198" s="6"/>
      <c r="OT198" s="6"/>
      <c r="OU198" s="6"/>
      <c r="OV198" s="6"/>
      <c r="OW198" s="6"/>
      <c r="OX198" s="6"/>
      <c r="OY198" s="6"/>
      <c r="OZ198" s="6"/>
      <c r="PA198" s="6"/>
      <c r="PB198" s="6"/>
      <c r="PC198" s="6"/>
      <c r="PD198" s="6"/>
      <c r="PE198" s="6"/>
      <c r="PF198" s="6"/>
      <c r="PG198" s="6"/>
      <c r="PH198" s="6"/>
      <c r="PI198" s="6"/>
      <c r="PJ198" s="6"/>
      <c r="PK198" s="6"/>
      <c r="PL198" s="6"/>
      <c r="PM198" s="6"/>
      <c r="PN198" s="6"/>
      <c r="PO198" s="6"/>
      <c r="PP198" s="6"/>
      <c r="PQ198" s="6"/>
      <c r="PR198" s="6"/>
      <c r="PS198" s="6"/>
      <c r="PT198" s="6"/>
      <c r="PU198" s="6"/>
      <c r="PV198" s="6"/>
      <c r="PW198" s="6"/>
      <c r="PX198" s="6"/>
      <c r="PY198" s="6"/>
      <c r="PZ198" s="6"/>
      <c r="QA198" s="6"/>
      <c r="QB198" s="6"/>
      <c r="QC198" s="6"/>
      <c r="QD198" s="6"/>
      <c r="QE198" s="6"/>
      <c r="QF198" s="6"/>
      <c r="QG198" s="6"/>
      <c r="QH198" s="6"/>
      <c r="QI198" s="6"/>
      <c r="QJ198" s="6"/>
      <c r="QK198" s="6"/>
      <c r="QL198" s="6"/>
      <c r="QM198" s="6"/>
      <c r="QN198" s="6"/>
      <c r="QO198" s="6"/>
      <c r="QP198" s="6"/>
      <c r="QQ198" s="6"/>
      <c r="QR198" s="6"/>
      <c r="QS198" s="6"/>
      <c r="QT198" s="6"/>
      <c r="QU198" s="6"/>
      <c r="QV198" s="6"/>
      <c r="QW198" s="6"/>
      <c r="QX198" s="6"/>
      <c r="QY198" s="6"/>
      <c r="QZ198" s="6"/>
      <c r="RA198" s="6"/>
      <c r="RB198" s="6"/>
      <c r="RC198" s="6"/>
      <c r="RD198" s="6"/>
      <c r="RE198" s="6"/>
      <c r="RF198" s="6"/>
      <c r="RG198" s="6"/>
      <c r="RH198" s="6"/>
      <c r="RI198" s="6"/>
      <c r="RJ198" s="6"/>
      <c r="RK198" s="6"/>
      <c r="RL198" s="6"/>
      <c r="RM198" s="6"/>
      <c r="RN198" s="6"/>
      <c r="RO198" s="6"/>
      <c r="RP198" s="6"/>
      <c r="RQ198" s="6"/>
      <c r="RR198" s="6"/>
      <c r="RS198" s="6"/>
      <c r="RT198" s="6"/>
      <c r="RU198" s="6"/>
      <c r="RV198" s="6"/>
      <c r="RW198" s="6"/>
      <c r="RX198" s="6"/>
      <c r="RY198" s="6"/>
      <c r="RZ198" s="6"/>
      <c r="SA198" s="6"/>
      <c r="SB198" s="6"/>
      <c r="SC198" s="6"/>
      <c r="SD198" s="6"/>
      <c r="SE198" s="6"/>
      <c r="SF198" s="6"/>
      <c r="SG198" s="6"/>
      <c r="SH198" s="6"/>
      <c r="SI198" s="6"/>
      <c r="SJ198" s="6"/>
      <c r="SK198" s="6"/>
      <c r="SL198" s="6"/>
      <c r="SM198" s="6"/>
      <c r="SN198" s="6"/>
      <c r="SO198" s="6"/>
      <c r="SP198" s="6"/>
      <c r="SQ198" s="6"/>
      <c r="SR198" s="6"/>
      <c r="SS198" s="6"/>
      <c r="ST198" s="6"/>
      <c r="SU198" s="6"/>
      <c r="SV198" s="6"/>
      <c r="SW198" s="6"/>
      <c r="SX198" s="6"/>
      <c r="SY198" s="6"/>
      <c r="SZ198" s="6"/>
      <c r="TA198" s="6"/>
      <c r="TB198" s="6"/>
      <c r="TC198" s="6"/>
      <c r="TD198" s="6"/>
      <c r="TE198" s="6"/>
      <c r="TF198" s="6"/>
      <c r="TG198" s="6"/>
      <c r="TH198" s="6"/>
      <c r="TI198" s="6"/>
      <c r="TJ198" s="6"/>
      <c r="TK198" s="6"/>
      <c r="TL198" s="6"/>
      <c r="TM198" s="6"/>
      <c r="TN198" s="6"/>
      <c r="TO198" s="6"/>
      <c r="TP198" s="6"/>
      <c r="TQ198" s="6"/>
      <c r="TR198" s="6"/>
      <c r="TS198" s="6"/>
      <c r="TT198" s="6"/>
      <c r="TU198" s="6"/>
      <c r="TV198" s="6"/>
      <c r="TW198" s="6"/>
      <c r="TX198" s="6"/>
      <c r="TY198" s="6"/>
      <c r="TZ198" s="6"/>
      <c r="UA198" s="6"/>
      <c r="UB198" s="6"/>
      <c r="UC198" s="6"/>
      <c r="UD198" s="6"/>
      <c r="UE198" s="6"/>
      <c r="UF198" s="6"/>
      <c r="UG198" s="6"/>
      <c r="UH198" s="6"/>
      <c r="UI198" s="6"/>
      <c r="UJ198" s="6"/>
      <c r="UK198" s="6"/>
      <c r="UL198" s="6"/>
      <c r="UM198" s="6"/>
      <c r="UN198" s="6"/>
      <c r="UO198" s="6"/>
      <c r="UP198" s="6"/>
      <c r="UQ198" s="6"/>
      <c r="UR198" s="6"/>
      <c r="US198" s="6"/>
      <c r="UT198" s="6"/>
      <c r="UU198" s="6"/>
      <c r="UV198" s="6"/>
      <c r="UW198" s="6"/>
      <c r="UX198" s="6"/>
      <c r="UY198" s="6"/>
      <c r="UZ198" s="6"/>
      <c r="VA198" s="6"/>
      <c r="VB198" s="6"/>
      <c r="VC198" s="6"/>
      <c r="VD198" s="6"/>
      <c r="VE198" s="6"/>
      <c r="VF198" s="6"/>
      <c r="VG198" s="6"/>
      <c r="VH198" s="6"/>
      <c r="VI198" s="6"/>
      <c r="VJ198" s="6"/>
      <c r="VK198" s="6"/>
      <c r="VL198" s="6"/>
      <c r="VM198" s="6"/>
      <c r="VN198" s="6"/>
      <c r="VO198" s="6"/>
      <c r="VP198" s="6"/>
      <c r="VQ198" s="6"/>
      <c r="VR198" s="6"/>
      <c r="VS198" s="6"/>
      <c r="VT198" s="6"/>
      <c r="VU198" s="6"/>
      <c r="VV198" s="6"/>
      <c r="VW198" s="6"/>
      <c r="VX198" s="6"/>
      <c r="VY198" s="6"/>
      <c r="VZ198" s="6"/>
      <c r="WA198" s="6"/>
      <c r="WB198" s="6"/>
      <c r="WC198" s="6"/>
      <c r="WD198" s="6"/>
      <c r="WE198" s="6"/>
      <c r="WF198" s="6"/>
      <c r="WG198" s="6"/>
      <c r="WH198" s="6"/>
      <c r="WI198" s="6"/>
      <c r="WJ198" s="6"/>
      <c r="WK198" s="6"/>
      <c r="WL198" s="6"/>
      <c r="WM198" s="6"/>
      <c r="WN198" s="6"/>
      <c r="WO198" s="6"/>
      <c r="WP198" s="6"/>
      <c r="WQ198" s="6"/>
      <c r="WR198" s="6"/>
      <c r="WS198" s="6"/>
      <c r="WT198" s="6"/>
      <c r="WU198" s="6"/>
      <c r="WV198" s="6"/>
      <c r="WW198" s="6"/>
      <c r="WX198" s="6"/>
      <c r="WY198" s="6"/>
      <c r="WZ198" s="6"/>
      <c r="XA198" s="6"/>
      <c r="XB198" s="6"/>
      <c r="XC198" s="6"/>
      <c r="XD198" s="6"/>
      <c r="XE198" s="6"/>
      <c r="XF198" s="6"/>
      <c r="XG198" s="6"/>
      <c r="XH198" s="6"/>
      <c r="XI198" s="6"/>
      <c r="XJ198" s="6"/>
      <c r="XK198" s="6"/>
      <c r="XL198" s="6"/>
      <c r="XM198" s="6"/>
      <c r="XN198" s="6"/>
      <c r="XO198" s="6"/>
      <c r="XP198" s="6"/>
      <c r="XQ198" s="6"/>
      <c r="XR198" s="6"/>
      <c r="XS198" s="6"/>
      <c r="XT198" s="6"/>
      <c r="XU198" s="6"/>
      <c r="XV198" s="6"/>
      <c r="XW198" s="6"/>
      <c r="XX198" s="6"/>
      <c r="XY198" s="6"/>
      <c r="XZ198" s="6"/>
      <c r="YA198" s="6"/>
      <c r="YB198" s="6"/>
      <c r="YC198" s="6"/>
      <c r="YD198" s="6"/>
      <c r="YE198" s="6"/>
      <c r="YF198" s="6"/>
      <c r="YG198" s="6"/>
      <c r="YH198" s="6"/>
      <c r="YI198" s="6"/>
      <c r="YJ198" s="6"/>
      <c r="YK198" s="6"/>
      <c r="YL198" s="6"/>
      <c r="YM198" s="6"/>
      <c r="YN198" s="6"/>
      <c r="YO198" s="6"/>
      <c r="YP198" s="6"/>
      <c r="YQ198" s="6"/>
      <c r="YR198" s="6"/>
      <c r="YS198" s="6"/>
      <c r="YT198" s="6"/>
      <c r="YU198" s="6"/>
      <c r="YV198" s="6"/>
      <c r="YW198" s="6"/>
      <c r="YX198" s="6"/>
      <c r="YY198" s="6"/>
      <c r="YZ198" s="6"/>
      <c r="ZA198" s="6"/>
      <c r="ZB198" s="6"/>
      <c r="ZC198" s="6"/>
      <c r="ZD198" s="6"/>
      <c r="ZE198" s="6"/>
      <c r="ZF198" s="6"/>
      <c r="ZG198" s="6"/>
      <c r="ZH198" s="6"/>
      <c r="ZI198" s="6"/>
      <c r="ZJ198" s="6"/>
      <c r="ZK198" s="6"/>
      <c r="ZL198" s="6"/>
      <c r="ZM198" s="6"/>
      <c r="ZN198" s="6"/>
      <c r="ZO198" s="6"/>
      <c r="ZP198" s="6"/>
      <c r="ZQ198" s="6"/>
      <c r="ZR198" s="6"/>
      <c r="ZS198" s="6"/>
      <c r="ZT198" s="6"/>
      <c r="ZU198" s="6"/>
      <c r="ZV198" s="6"/>
      <c r="ZW198" s="6"/>
      <c r="ZX198" s="6"/>
      <c r="ZY198" s="6"/>
      <c r="ZZ198" s="6"/>
      <c r="AAA198" s="6"/>
      <c r="AAB198" s="6"/>
      <c r="AAC198" s="6"/>
      <c r="AAD198" s="6"/>
      <c r="AAE198" s="6"/>
      <c r="AAF198" s="6"/>
      <c r="AAG198" s="6"/>
      <c r="AAH198" s="6"/>
      <c r="AAI198" s="6"/>
      <c r="AAJ198" s="6"/>
      <c r="AAK198" s="6"/>
      <c r="AAL198" s="6"/>
      <c r="AAM198" s="6"/>
      <c r="AAN198" s="6"/>
      <c r="AAO198" s="6"/>
      <c r="AAP198" s="6"/>
      <c r="AAQ198" s="6"/>
      <c r="AAR198" s="6"/>
      <c r="AAS198" s="6"/>
      <c r="AAT198" s="6"/>
      <c r="AAU198" s="6"/>
      <c r="AAV198" s="6"/>
      <c r="AAW198" s="6"/>
      <c r="AAX198" s="6"/>
      <c r="AAY198" s="6"/>
      <c r="AAZ198" s="6"/>
      <c r="ABA198" s="6"/>
      <c r="ABB198" s="6"/>
      <c r="ABC198" s="6"/>
      <c r="ABD198" s="6"/>
      <c r="ABE198" s="6"/>
      <c r="ABF198" s="6"/>
      <c r="ABG198" s="6"/>
      <c r="ABH198" s="6"/>
      <c r="ABI198" s="6"/>
      <c r="ABJ198" s="6"/>
      <c r="ABK198" s="6"/>
      <c r="ABL198" s="6"/>
      <c r="ABM198" s="6"/>
      <c r="ABN198" s="6"/>
      <c r="ABO198" s="6"/>
      <c r="ABP198" s="6"/>
      <c r="ABQ198" s="6"/>
      <c r="ABR198" s="6"/>
      <c r="ABS198" s="6"/>
      <c r="ABT198" s="6"/>
      <c r="ABU198" s="6"/>
      <c r="ABV198" s="6"/>
      <c r="ABW198" s="6"/>
      <c r="ABX198" s="6"/>
      <c r="ABY198" s="6"/>
      <c r="ABZ198" s="6"/>
      <c r="ACA198" s="6"/>
      <c r="ACB198" s="6"/>
      <c r="ACC198" s="6"/>
      <c r="ACD198" s="6"/>
      <c r="ACE198" s="6"/>
      <c r="ACF198" s="6"/>
      <c r="ACG198" s="6"/>
      <c r="ACH198" s="6"/>
      <c r="ACI198" s="6"/>
      <c r="ACJ198" s="6"/>
      <c r="ACK198" s="6"/>
      <c r="ACL198" s="6"/>
      <c r="ACM198" s="6"/>
      <c r="ACN198" s="6"/>
      <c r="ACO198" s="6"/>
      <c r="ACP198" s="6"/>
      <c r="ACQ198" s="6"/>
      <c r="ACR198" s="6"/>
      <c r="ACS198" s="6"/>
      <c r="ACT198" s="6"/>
      <c r="ACU198" s="6"/>
      <c r="ACV198" s="6"/>
      <c r="ACW198" s="6"/>
      <c r="ACX198" s="6"/>
      <c r="ACY198" s="6"/>
      <c r="ACZ198" s="6"/>
      <c r="ADA198" s="6"/>
      <c r="ADB198" s="6"/>
      <c r="ADC198" s="6"/>
      <c r="ADD198" s="6"/>
      <c r="ADE198" s="6"/>
      <c r="ADF198" s="6"/>
      <c r="ADG198" s="6"/>
      <c r="ADH198" s="6"/>
      <c r="ADI198" s="6"/>
      <c r="ADJ198" s="6"/>
    </row>
    <row r="199" spans="1:790" s="291" customFormat="1" x14ac:dyDescent="0.3">
      <c r="A199" s="399"/>
      <c r="B199" s="571"/>
      <c r="C199" s="366"/>
      <c r="D199" s="367"/>
      <c r="E199" s="367"/>
      <c r="F199" s="362"/>
      <c r="G199" s="362"/>
      <c r="H199" s="362"/>
      <c r="I199" s="369"/>
      <c r="J199" s="362"/>
      <c r="K199" s="363"/>
      <c r="L199" s="370"/>
      <c r="M199" s="490"/>
      <c r="N199" s="489" t="str">
        <f t="shared" si="138"/>
        <v/>
      </c>
      <c r="O199" s="308"/>
      <c r="Q199" s="497"/>
      <c r="R199" s="481"/>
      <c r="S199" s="514"/>
      <c r="T199" s="515" t="str">
        <f t="shared" si="143"/>
        <v/>
      </c>
      <c r="U199" s="482" t="str">
        <f t="shared" si="144"/>
        <v/>
      </c>
      <c r="V199" s="514"/>
      <c r="W199" s="515" t="str">
        <f t="shared" si="145"/>
        <v/>
      </c>
      <c r="X199" s="507"/>
      <c r="Y199" s="507"/>
      <c r="Z199" s="478"/>
      <c r="AA199" s="471"/>
      <c r="AB199" s="471"/>
      <c r="AC199" s="471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6"/>
      <c r="IK199" s="6"/>
      <c r="IL199" s="6"/>
      <c r="IM199" s="6"/>
      <c r="IN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6"/>
      <c r="KZ199" s="6"/>
      <c r="LA199" s="6"/>
      <c r="LB199" s="6"/>
      <c r="LC199" s="6"/>
      <c r="LD199" s="6"/>
      <c r="LE199" s="6"/>
      <c r="LF199" s="6"/>
      <c r="LG199" s="6"/>
      <c r="LH199" s="6"/>
      <c r="LI199" s="6"/>
      <c r="LJ199" s="6"/>
      <c r="LK199" s="6"/>
      <c r="LL199" s="6"/>
      <c r="LM199" s="6"/>
      <c r="LN199" s="6"/>
      <c r="LO199" s="6"/>
      <c r="LP199" s="6"/>
      <c r="LQ199" s="6"/>
      <c r="LR199" s="6"/>
      <c r="LS199" s="6"/>
      <c r="LT199" s="6"/>
      <c r="LU199" s="6"/>
      <c r="LV199" s="6"/>
      <c r="LW199" s="6"/>
      <c r="LX199" s="6"/>
      <c r="LY199" s="6"/>
      <c r="LZ199" s="6"/>
      <c r="MA199" s="6"/>
      <c r="MB199" s="6"/>
      <c r="MC199" s="6"/>
      <c r="MD199" s="6"/>
      <c r="ME199" s="6"/>
      <c r="MF199" s="6"/>
      <c r="MG199" s="6"/>
      <c r="MH199" s="6"/>
      <c r="MI199" s="6"/>
      <c r="MJ199" s="6"/>
      <c r="MK199" s="6"/>
      <c r="ML199" s="6"/>
      <c r="MM199" s="6"/>
      <c r="MN199" s="6"/>
      <c r="MO199" s="6"/>
      <c r="MP199" s="6"/>
      <c r="MQ199" s="6"/>
      <c r="MR199" s="6"/>
      <c r="MS199" s="6"/>
      <c r="MT199" s="6"/>
      <c r="MU199" s="6"/>
      <c r="MV199" s="6"/>
      <c r="MW199" s="6"/>
      <c r="MX199" s="6"/>
      <c r="MY199" s="6"/>
      <c r="MZ199" s="6"/>
      <c r="NA199" s="6"/>
      <c r="NB199" s="6"/>
      <c r="NC199" s="6"/>
      <c r="ND199" s="6"/>
      <c r="NE199" s="6"/>
      <c r="NF199" s="6"/>
      <c r="NG199" s="6"/>
      <c r="NH199" s="6"/>
      <c r="NI199" s="6"/>
      <c r="NJ199" s="6"/>
      <c r="NK199" s="6"/>
      <c r="NL199" s="6"/>
      <c r="NM199" s="6"/>
      <c r="NN199" s="6"/>
      <c r="NO199" s="6"/>
      <c r="NP199" s="6"/>
      <c r="NQ199" s="6"/>
      <c r="NR199" s="6"/>
      <c r="NS199" s="6"/>
      <c r="NT199" s="6"/>
      <c r="NU199" s="6"/>
      <c r="NV199" s="6"/>
      <c r="NW199" s="6"/>
      <c r="NX199" s="6"/>
      <c r="NY199" s="6"/>
      <c r="NZ199" s="6"/>
      <c r="OA199" s="6"/>
      <c r="OB199" s="6"/>
      <c r="OC199" s="6"/>
      <c r="OD199" s="6"/>
      <c r="OE199" s="6"/>
      <c r="OF199" s="6"/>
      <c r="OG199" s="6"/>
      <c r="OH199" s="6"/>
      <c r="OI199" s="6"/>
      <c r="OJ199" s="6"/>
      <c r="OK199" s="6"/>
      <c r="OL199" s="6"/>
      <c r="OM199" s="6"/>
      <c r="ON199" s="6"/>
      <c r="OO199" s="6"/>
      <c r="OP199" s="6"/>
      <c r="OQ199" s="6"/>
      <c r="OR199" s="6"/>
      <c r="OS199" s="6"/>
      <c r="OT199" s="6"/>
      <c r="OU199" s="6"/>
      <c r="OV199" s="6"/>
      <c r="OW199" s="6"/>
      <c r="OX199" s="6"/>
      <c r="OY199" s="6"/>
      <c r="OZ199" s="6"/>
      <c r="PA199" s="6"/>
      <c r="PB199" s="6"/>
      <c r="PC199" s="6"/>
      <c r="PD199" s="6"/>
      <c r="PE199" s="6"/>
      <c r="PF199" s="6"/>
      <c r="PG199" s="6"/>
      <c r="PH199" s="6"/>
      <c r="PI199" s="6"/>
      <c r="PJ199" s="6"/>
      <c r="PK199" s="6"/>
      <c r="PL199" s="6"/>
      <c r="PM199" s="6"/>
      <c r="PN199" s="6"/>
      <c r="PO199" s="6"/>
      <c r="PP199" s="6"/>
      <c r="PQ199" s="6"/>
      <c r="PR199" s="6"/>
      <c r="PS199" s="6"/>
      <c r="PT199" s="6"/>
      <c r="PU199" s="6"/>
      <c r="PV199" s="6"/>
      <c r="PW199" s="6"/>
      <c r="PX199" s="6"/>
      <c r="PY199" s="6"/>
      <c r="PZ199" s="6"/>
      <c r="QA199" s="6"/>
      <c r="QB199" s="6"/>
      <c r="QC199" s="6"/>
      <c r="QD199" s="6"/>
      <c r="QE199" s="6"/>
      <c r="QF199" s="6"/>
      <c r="QG199" s="6"/>
      <c r="QH199" s="6"/>
      <c r="QI199" s="6"/>
      <c r="QJ199" s="6"/>
      <c r="QK199" s="6"/>
      <c r="QL199" s="6"/>
      <c r="QM199" s="6"/>
      <c r="QN199" s="6"/>
      <c r="QO199" s="6"/>
      <c r="QP199" s="6"/>
      <c r="QQ199" s="6"/>
      <c r="QR199" s="6"/>
      <c r="QS199" s="6"/>
      <c r="QT199" s="6"/>
      <c r="QU199" s="6"/>
      <c r="QV199" s="6"/>
      <c r="QW199" s="6"/>
      <c r="QX199" s="6"/>
      <c r="QY199" s="6"/>
      <c r="QZ199" s="6"/>
      <c r="RA199" s="6"/>
      <c r="RB199" s="6"/>
      <c r="RC199" s="6"/>
      <c r="RD199" s="6"/>
      <c r="RE199" s="6"/>
      <c r="RF199" s="6"/>
      <c r="RG199" s="6"/>
      <c r="RH199" s="6"/>
      <c r="RI199" s="6"/>
      <c r="RJ199" s="6"/>
      <c r="RK199" s="6"/>
      <c r="RL199" s="6"/>
      <c r="RM199" s="6"/>
      <c r="RN199" s="6"/>
      <c r="RO199" s="6"/>
      <c r="RP199" s="6"/>
      <c r="RQ199" s="6"/>
      <c r="RR199" s="6"/>
      <c r="RS199" s="6"/>
      <c r="RT199" s="6"/>
      <c r="RU199" s="6"/>
      <c r="RV199" s="6"/>
      <c r="RW199" s="6"/>
      <c r="RX199" s="6"/>
      <c r="RY199" s="6"/>
      <c r="RZ199" s="6"/>
      <c r="SA199" s="6"/>
      <c r="SB199" s="6"/>
      <c r="SC199" s="6"/>
      <c r="SD199" s="6"/>
      <c r="SE199" s="6"/>
      <c r="SF199" s="6"/>
      <c r="SG199" s="6"/>
      <c r="SH199" s="6"/>
      <c r="SI199" s="6"/>
      <c r="SJ199" s="6"/>
      <c r="SK199" s="6"/>
      <c r="SL199" s="6"/>
      <c r="SM199" s="6"/>
      <c r="SN199" s="6"/>
      <c r="SO199" s="6"/>
      <c r="SP199" s="6"/>
      <c r="SQ199" s="6"/>
      <c r="SR199" s="6"/>
      <c r="SS199" s="6"/>
      <c r="ST199" s="6"/>
      <c r="SU199" s="6"/>
      <c r="SV199" s="6"/>
      <c r="SW199" s="6"/>
      <c r="SX199" s="6"/>
      <c r="SY199" s="6"/>
      <c r="SZ199" s="6"/>
      <c r="TA199" s="6"/>
      <c r="TB199" s="6"/>
      <c r="TC199" s="6"/>
      <c r="TD199" s="6"/>
      <c r="TE199" s="6"/>
      <c r="TF199" s="6"/>
      <c r="TG199" s="6"/>
      <c r="TH199" s="6"/>
      <c r="TI199" s="6"/>
      <c r="TJ199" s="6"/>
      <c r="TK199" s="6"/>
      <c r="TL199" s="6"/>
      <c r="TM199" s="6"/>
      <c r="TN199" s="6"/>
      <c r="TO199" s="6"/>
      <c r="TP199" s="6"/>
      <c r="TQ199" s="6"/>
      <c r="TR199" s="6"/>
      <c r="TS199" s="6"/>
      <c r="TT199" s="6"/>
      <c r="TU199" s="6"/>
      <c r="TV199" s="6"/>
      <c r="TW199" s="6"/>
      <c r="TX199" s="6"/>
      <c r="TY199" s="6"/>
      <c r="TZ199" s="6"/>
      <c r="UA199" s="6"/>
      <c r="UB199" s="6"/>
      <c r="UC199" s="6"/>
      <c r="UD199" s="6"/>
      <c r="UE199" s="6"/>
      <c r="UF199" s="6"/>
      <c r="UG199" s="6"/>
      <c r="UH199" s="6"/>
      <c r="UI199" s="6"/>
      <c r="UJ199" s="6"/>
      <c r="UK199" s="6"/>
      <c r="UL199" s="6"/>
      <c r="UM199" s="6"/>
      <c r="UN199" s="6"/>
      <c r="UO199" s="6"/>
      <c r="UP199" s="6"/>
      <c r="UQ199" s="6"/>
      <c r="UR199" s="6"/>
      <c r="US199" s="6"/>
      <c r="UT199" s="6"/>
      <c r="UU199" s="6"/>
      <c r="UV199" s="6"/>
      <c r="UW199" s="6"/>
      <c r="UX199" s="6"/>
      <c r="UY199" s="6"/>
      <c r="UZ199" s="6"/>
      <c r="VA199" s="6"/>
      <c r="VB199" s="6"/>
      <c r="VC199" s="6"/>
      <c r="VD199" s="6"/>
      <c r="VE199" s="6"/>
      <c r="VF199" s="6"/>
      <c r="VG199" s="6"/>
      <c r="VH199" s="6"/>
      <c r="VI199" s="6"/>
      <c r="VJ199" s="6"/>
      <c r="VK199" s="6"/>
      <c r="VL199" s="6"/>
      <c r="VM199" s="6"/>
      <c r="VN199" s="6"/>
      <c r="VO199" s="6"/>
      <c r="VP199" s="6"/>
      <c r="VQ199" s="6"/>
      <c r="VR199" s="6"/>
      <c r="VS199" s="6"/>
      <c r="VT199" s="6"/>
      <c r="VU199" s="6"/>
      <c r="VV199" s="6"/>
      <c r="VW199" s="6"/>
      <c r="VX199" s="6"/>
      <c r="VY199" s="6"/>
      <c r="VZ199" s="6"/>
      <c r="WA199" s="6"/>
      <c r="WB199" s="6"/>
      <c r="WC199" s="6"/>
      <c r="WD199" s="6"/>
      <c r="WE199" s="6"/>
      <c r="WF199" s="6"/>
      <c r="WG199" s="6"/>
      <c r="WH199" s="6"/>
      <c r="WI199" s="6"/>
      <c r="WJ199" s="6"/>
      <c r="WK199" s="6"/>
      <c r="WL199" s="6"/>
      <c r="WM199" s="6"/>
      <c r="WN199" s="6"/>
      <c r="WO199" s="6"/>
      <c r="WP199" s="6"/>
      <c r="WQ199" s="6"/>
      <c r="WR199" s="6"/>
      <c r="WS199" s="6"/>
      <c r="WT199" s="6"/>
      <c r="WU199" s="6"/>
      <c r="WV199" s="6"/>
      <c r="WW199" s="6"/>
      <c r="WX199" s="6"/>
      <c r="WY199" s="6"/>
      <c r="WZ199" s="6"/>
      <c r="XA199" s="6"/>
      <c r="XB199" s="6"/>
      <c r="XC199" s="6"/>
      <c r="XD199" s="6"/>
      <c r="XE199" s="6"/>
      <c r="XF199" s="6"/>
      <c r="XG199" s="6"/>
      <c r="XH199" s="6"/>
      <c r="XI199" s="6"/>
      <c r="XJ199" s="6"/>
      <c r="XK199" s="6"/>
      <c r="XL199" s="6"/>
      <c r="XM199" s="6"/>
      <c r="XN199" s="6"/>
      <c r="XO199" s="6"/>
      <c r="XP199" s="6"/>
      <c r="XQ199" s="6"/>
      <c r="XR199" s="6"/>
      <c r="XS199" s="6"/>
      <c r="XT199" s="6"/>
      <c r="XU199" s="6"/>
      <c r="XV199" s="6"/>
      <c r="XW199" s="6"/>
      <c r="XX199" s="6"/>
      <c r="XY199" s="6"/>
      <c r="XZ199" s="6"/>
      <c r="YA199" s="6"/>
      <c r="YB199" s="6"/>
      <c r="YC199" s="6"/>
      <c r="YD199" s="6"/>
      <c r="YE199" s="6"/>
      <c r="YF199" s="6"/>
      <c r="YG199" s="6"/>
      <c r="YH199" s="6"/>
      <c r="YI199" s="6"/>
      <c r="YJ199" s="6"/>
      <c r="YK199" s="6"/>
      <c r="YL199" s="6"/>
      <c r="YM199" s="6"/>
      <c r="YN199" s="6"/>
      <c r="YO199" s="6"/>
      <c r="YP199" s="6"/>
      <c r="YQ199" s="6"/>
      <c r="YR199" s="6"/>
      <c r="YS199" s="6"/>
      <c r="YT199" s="6"/>
      <c r="YU199" s="6"/>
      <c r="YV199" s="6"/>
      <c r="YW199" s="6"/>
      <c r="YX199" s="6"/>
      <c r="YY199" s="6"/>
      <c r="YZ199" s="6"/>
      <c r="ZA199" s="6"/>
      <c r="ZB199" s="6"/>
      <c r="ZC199" s="6"/>
      <c r="ZD199" s="6"/>
      <c r="ZE199" s="6"/>
      <c r="ZF199" s="6"/>
      <c r="ZG199" s="6"/>
      <c r="ZH199" s="6"/>
      <c r="ZI199" s="6"/>
      <c r="ZJ199" s="6"/>
      <c r="ZK199" s="6"/>
      <c r="ZL199" s="6"/>
      <c r="ZM199" s="6"/>
      <c r="ZN199" s="6"/>
      <c r="ZO199" s="6"/>
      <c r="ZP199" s="6"/>
      <c r="ZQ199" s="6"/>
      <c r="ZR199" s="6"/>
      <c r="ZS199" s="6"/>
      <c r="ZT199" s="6"/>
      <c r="ZU199" s="6"/>
      <c r="ZV199" s="6"/>
      <c r="ZW199" s="6"/>
      <c r="ZX199" s="6"/>
      <c r="ZY199" s="6"/>
      <c r="ZZ199" s="6"/>
      <c r="AAA199" s="6"/>
      <c r="AAB199" s="6"/>
      <c r="AAC199" s="6"/>
      <c r="AAD199" s="6"/>
      <c r="AAE199" s="6"/>
      <c r="AAF199" s="6"/>
      <c r="AAG199" s="6"/>
      <c r="AAH199" s="6"/>
      <c r="AAI199" s="6"/>
      <c r="AAJ199" s="6"/>
      <c r="AAK199" s="6"/>
      <c r="AAL199" s="6"/>
      <c r="AAM199" s="6"/>
      <c r="AAN199" s="6"/>
      <c r="AAO199" s="6"/>
      <c r="AAP199" s="6"/>
      <c r="AAQ199" s="6"/>
      <c r="AAR199" s="6"/>
      <c r="AAS199" s="6"/>
      <c r="AAT199" s="6"/>
      <c r="AAU199" s="6"/>
      <c r="AAV199" s="6"/>
      <c r="AAW199" s="6"/>
      <c r="AAX199" s="6"/>
      <c r="AAY199" s="6"/>
      <c r="AAZ199" s="6"/>
      <c r="ABA199" s="6"/>
      <c r="ABB199" s="6"/>
      <c r="ABC199" s="6"/>
      <c r="ABD199" s="6"/>
      <c r="ABE199" s="6"/>
      <c r="ABF199" s="6"/>
      <c r="ABG199" s="6"/>
      <c r="ABH199" s="6"/>
      <c r="ABI199" s="6"/>
      <c r="ABJ199" s="6"/>
      <c r="ABK199" s="6"/>
      <c r="ABL199" s="6"/>
      <c r="ABM199" s="6"/>
      <c r="ABN199" s="6"/>
      <c r="ABO199" s="6"/>
      <c r="ABP199" s="6"/>
      <c r="ABQ199" s="6"/>
      <c r="ABR199" s="6"/>
      <c r="ABS199" s="6"/>
      <c r="ABT199" s="6"/>
      <c r="ABU199" s="6"/>
      <c r="ABV199" s="6"/>
      <c r="ABW199" s="6"/>
      <c r="ABX199" s="6"/>
      <c r="ABY199" s="6"/>
      <c r="ABZ199" s="6"/>
      <c r="ACA199" s="6"/>
      <c r="ACB199" s="6"/>
      <c r="ACC199" s="6"/>
      <c r="ACD199" s="6"/>
      <c r="ACE199" s="6"/>
      <c r="ACF199" s="6"/>
      <c r="ACG199" s="6"/>
      <c r="ACH199" s="6"/>
      <c r="ACI199" s="6"/>
      <c r="ACJ199" s="6"/>
      <c r="ACK199" s="6"/>
      <c r="ACL199" s="6"/>
      <c r="ACM199" s="6"/>
      <c r="ACN199" s="6"/>
      <c r="ACO199" s="6"/>
      <c r="ACP199" s="6"/>
      <c r="ACQ199" s="6"/>
      <c r="ACR199" s="6"/>
      <c r="ACS199" s="6"/>
      <c r="ACT199" s="6"/>
      <c r="ACU199" s="6"/>
      <c r="ACV199" s="6"/>
      <c r="ACW199" s="6"/>
      <c r="ACX199" s="6"/>
      <c r="ACY199" s="6"/>
      <c r="ACZ199" s="6"/>
      <c r="ADA199" s="6"/>
      <c r="ADB199" s="6"/>
      <c r="ADC199" s="6"/>
      <c r="ADD199" s="6"/>
      <c r="ADE199" s="6"/>
      <c r="ADF199" s="6"/>
      <c r="ADG199" s="6"/>
      <c r="ADH199" s="6"/>
      <c r="ADI199" s="6"/>
      <c r="ADJ199" s="6"/>
    </row>
    <row r="200" spans="1:790" s="291" customFormat="1" ht="27.6" x14ac:dyDescent="0.3">
      <c r="A200" s="399"/>
      <c r="B200" s="558" t="s">
        <v>105</v>
      </c>
      <c r="C200" s="366"/>
      <c r="D200" s="367"/>
      <c r="E200" s="367"/>
      <c r="F200" s="367"/>
      <c r="G200" s="427"/>
      <c r="H200" s="427"/>
      <c r="I200" s="369"/>
      <c r="J200" s="403"/>
      <c r="K200" s="363"/>
      <c r="L200" s="370"/>
      <c r="M200" s="490"/>
      <c r="N200" s="489" t="str">
        <f t="shared" si="138"/>
        <v/>
      </c>
      <c r="O200" s="308"/>
      <c r="Q200" s="497"/>
      <c r="R200" s="481"/>
      <c r="S200" s="514"/>
      <c r="T200" s="515" t="str">
        <f t="shared" si="143"/>
        <v/>
      </c>
      <c r="U200" s="482" t="str">
        <f t="shared" si="144"/>
        <v/>
      </c>
      <c r="V200" s="514"/>
      <c r="W200" s="515" t="str">
        <f t="shared" si="145"/>
        <v/>
      </c>
      <c r="X200" s="507"/>
      <c r="Y200" s="507"/>
      <c r="Z200" s="478"/>
      <c r="AA200" s="471"/>
      <c r="AB200" s="471"/>
      <c r="AC200" s="471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J200" s="6"/>
      <c r="IK200" s="6"/>
      <c r="IL200" s="6"/>
      <c r="IM200" s="6"/>
      <c r="IN200" s="6"/>
      <c r="IO200" s="6"/>
      <c r="IP200" s="6"/>
      <c r="IQ200" s="6"/>
      <c r="IR200" s="6"/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6"/>
      <c r="KG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  <c r="KR200" s="6"/>
      <c r="KS200" s="6"/>
      <c r="KT200" s="6"/>
      <c r="KU200" s="6"/>
      <c r="KV200" s="6"/>
      <c r="KW200" s="6"/>
      <c r="KX200" s="6"/>
      <c r="KY200" s="6"/>
      <c r="KZ200" s="6"/>
      <c r="LA200" s="6"/>
      <c r="LB200" s="6"/>
      <c r="LC200" s="6"/>
      <c r="LD200" s="6"/>
      <c r="LE200" s="6"/>
      <c r="LF200" s="6"/>
      <c r="LG200" s="6"/>
      <c r="LH200" s="6"/>
      <c r="LI200" s="6"/>
      <c r="LJ200" s="6"/>
      <c r="LK200" s="6"/>
      <c r="LL200" s="6"/>
      <c r="LM200" s="6"/>
      <c r="LN200" s="6"/>
      <c r="LO200" s="6"/>
      <c r="LP200" s="6"/>
      <c r="LQ200" s="6"/>
      <c r="LR200" s="6"/>
      <c r="LS200" s="6"/>
      <c r="LT200" s="6"/>
      <c r="LU200" s="6"/>
      <c r="LV200" s="6"/>
      <c r="LW200" s="6"/>
      <c r="LX200" s="6"/>
      <c r="LY200" s="6"/>
      <c r="LZ200" s="6"/>
      <c r="MA200" s="6"/>
      <c r="MB200" s="6"/>
      <c r="MC200" s="6"/>
      <c r="MD200" s="6"/>
      <c r="ME200" s="6"/>
      <c r="MF200" s="6"/>
      <c r="MG200" s="6"/>
      <c r="MH200" s="6"/>
      <c r="MI200" s="6"/>
      <c r="MJ200" s="6"/>
      <c r="MK200" s="6"/>
      <c r="ML200" s="6"/>
      <c r="MM200" s="6"/>
      <c r="MN200" s="6"/>
      <c r="MO200" s="6"/>
      <c r="MP200" s="6"/>
      <c r="MQ200" s="6"/>
      <c r="MR200" s="6"/>
      <c r="MS200" s="6"/>
      <c r="MT200" s="6"/>
      <c r="MU200" s="6"/>
      <c r="MV200" s="6"/>
      <c r="MW200" s="6"/>
      <c r="MX200" s="6"/>
      <c r="MY200" s="6"/>
      <c r="MZ200" s="6"/>
      <c r="NA200" s="6"/>
      <c r="NB200" s="6"/>
      <c r="NC200" s="6"/>
      <c r="ND200" s="6"/>
      <c r="NE200" s="6"/>
      <c r="NF200" s="6"/>
      <c r="NG200" s="6"/>
      <c r="NH200" s="6"/>
      <c r="NI200" s="6"/>
      <c r="NJ200" s="6"/>
      <c r="NK200" s="6"/>
      <c r="NL200" s="6"/>
      <c r="NM200" s="6"/>
      <c r="NN200" s="6"/>
      <c r="NO200" s="6"/>
      <c r="NP200" s="6"/>
      <c r="NQ200" s="6"/>
      <c r="NR200" s="6"/>
      <c r="NS200" s="6"/>
      <c r="NT200" s="6"/>
      <c r="NU200" s="6"/>
      <c r="NV200" s="6"/>
      <c r="NW200" s="6"/>
      <c r="NX200" s="6"/>
      <c r="NY200" s="6"/>
      <c r="NZ200" s="6"/>
      <c r="OA200" s="6"/>
      <c r="OB200" s="6"/>
      <c r="OC200" s="6"/>
      <c r="OD200" s="6"/>
      <c r="OE200" s="6"/>
      <c r="OF200" s="6"/>
      <c r="OG200" s="6"/>
      <c r="OH200" s="6"/>
      <c r="OI200" s="6"/>
      <c r="OJ200" s="6"/>
      <c r="OK200" s="6"/>
      <c r="OL200" s="6"/>
      <c r="OM200" s="6"/>
      <c r="ON200" s="6"/>
      <c r="OO200" s="6"/>
      <c r="OP200" s="6"/>
      <c r="OQ200" s="6"/>
      <c r="OR200" s="6"/>
      <c r="OS200" s="6"/>
      <c r="OT200" s="6"/>
      <c r="OU200" s="6"/>
      <c r="OV200" s="6"/>
      <c r="OW200" s="6"/>
      <c r="OX200" s="6"/>
      <c r="OY200" s="6"/>
      <c r="OZ200" s="6"/>
      <c r="PA200" s="6"/>
      <c r="PB200" s="6"/>
      <c r="PC200" s="6"/>
      <c r="PD200" s="6"/>
      <c r="PE200" s="6"/>
      <c r="PF200" s="6"/>
      <c r="PG200" s="6"/>
      <c r="PH200" s="6"/>
      <c r="PI200" s="6"/>
      <c r="PJ200" s="6"/>
      <c r="PK200" s="6"/>
      <c r="PL200" s="6"/>
      <c r="PM200" s="6"/>
      <c r="PN200" s="6"/>
      <c r="PO200" s="6"/>
      <c r="PP200" s="6"/>
      <c r="PQ200" s="6"/>
      <c r="PR200" s="6"/>
      <c r="PS200" s="6"/>
      <c r="PT200" s="6"/>
      <c r="PU200" s="6"/>
      <c r="PV200" s="6"/>
      <c r="PW200" s="6"/>
      <c r="PX200" s="6"/>
      <c r="PY200" s="6"/>
      <c r="PZ200" s="6"/>
      <c r="QA200" s="6"/>
      <c r="QB200" s="6"/>
      <c r="QC200" s="6"/>
      <c r="QD200" s="6"/>
      <c r="QE200" s="6"/>
      <c r="QF200" s="6"/>
      <c r="QG200" s="6"/>
      <c r="QH200" s="6"/>
      <c r="QI200" s="6"/>
      <c r="QJ200" s="6"/>
      <c r="QK200" s="6"/>
      <c r="QL200" s="6"/>
      <c r="QM200" s="6"/>
      <c r="QN200" s="6"/>
      <c r="QO200" s="6"/>
      <c r="QP200" s="6"/>
      <c r="QQ200" s="6"/>
      <c r="QR200" s="6"/>
      <c r="QS200" s="6"/>
      <c r="QT200" s="6"/>
      <c r="QU200" s="6"/>
      <c r="QV200" s="6"/>
      <c r="QW200" s="6"/>
      <c r="QX200" s="6"/>
      <c r="QY200" s="6"/>
      <c r="QZ200" s="6"/>
      <c r="RA200" s="6"/>
      <c r="RB200" s="6"/>
      <c r="RC200" s="6"/>
      <c r="RD200" s="6"/>
      <c r="RE200" s="6"/>
      <c r="RF200" s="6"/>
      <c r="RG200" s="6"/>
      <c r="RH200" s="6"/>
      <c r="RI200" s="6"/>
      <c r="RJ200" s="6"/>
      <c r="RK200" s="6"/>
      <c r="RL200" s="6"/>
      <c r="RM200" s="6"/>
      <c r="RN200" s="6"/>
      <c r="RO200" s="6"/>
      <c r="RP200" s="6"/>
      <c r="RQ200" s="6"/>
      <c r="RR200" s="6"/>
      <c r="RS200" s="6"/>
      <c r="RT200" s="6"/>
      <c r="RU200" s="6"/>
      <c r="RV200" s="6"/>
      <c r="RW200" s="6"/>
      <c r="RX200" s="6"/>
      <c r="RY200" s="6"/>
      <c r="RZ200" s="6"/>
      <c r="SA200" s="6"/>
      <c r="SB200" s="6"/>
      <c r="SC200" s="6"/>
      <c r="SD200" s="6"/>
      <c r="SE200" s="6"/>
      <c r="SF200" s="6"/>
      <c r="SG200" s="6"/>
      <c r="SH200" s="6"/>
      <c r="SI200" s="6"/>
      <c r="SJ200" s="6"/>
      <c r="SK200" s="6"/>
      <c r="SL200" s="6"/>
      <c r="SM200" s="6"/>
      <c r="SN200" s="6"/>
      <c r="SO200" s="6"/>
      <c r="SP200" s="6"/>
      <c r="SQ200" s="6"/>
      <c r="SR200" s="6"/>
      <c r="SS200" s="6"/>
      <c r="ST200" s="6"/>
      <c r="SU200" s="6"/>
      <c r="SV200" s="6"/>
      <c r="SW200" s="6"/>
      <c r="SX200" s="6"/>
      <c r="SY200" s="6"/>
      <c r="SZ200" s="6"/>
      <c r="TA200" s="6"/>
      <c r="TB200" s="6"/>
      <c r="TC200" s="6"/>
      <c r="TD200" s="6"/>
      <c r="TE200" s="6"/>
      <c r="TF200" s="6"/>
      <c r="TG200" s="6"/>
      <c r="TH200" s="6"/>
      <c r="TI200" s="6"/>
      <c r="TJ200" s="6"/>
      <c r="TK200" s="6"/>
      <c r="TL200" s="6"/>
      <c r="TM200" s="6"/>
      <c r="TN200" s="6"/>
      <c r="TO200" s="6"/>
      <c r="TP200" s="6"/>
      <c r="TQ200" s="6"/>
      <c r="TR200" s="6"/>
      <c r="TS200" s="6"/>
      <c r="TT200" s="6"/>
      <c r="TU200" s="6"/>
      <c r="TV200" s="6"/>
      <c r="TW200" s="6"/>
      <c r="TX200" s="6"/>
      <c r="TY200" s="6"/>
      <c r="TZ200" s="6"/>
      <c r="UA200" s="6"/>
      <c r="UB200" s="6"/>
      <c r="UC200" s="6"/>
      <c r="UD200" s="6"/>
      <c r="UE200" s="6"/>
      <c r="UF200" s="6"/>
      <c r="UG200" s="6"/>
      <c r="UH200" s="6"/>
      <c r="UI200" s="6"/>
      <c r="UJ200" s="6"/>
      <c r="UK200" s="6"/>
      <c r="UL200" s="6"/>
      <c r="UM200" s="6"/>
      <c r="UN200" s="6"/>
      <c r="UO200" s="6"/>
      <c r="UP200" s="6"/>
      <c r="UQ200" s="6"/>
      <c r="UR200" s="6"/>
      <c r="US200" s="6"/>
      <c r="UT200" s="6"/>
      <c r="UU200" s="6"/>
      <c r="UV200" s="6"/>
      <c r="UW200" s="6"/>
      <c r="UX200" s="6"/>
      <c r="UY200" s="6"/>
      <c r="UZ200" s="6"/>
      <c r="VA200" s="6"/>
      <c r="VB200" s="6"/>
      <c r="VC200" s="6"/>
      <c r="VD200" s="6"/>
      <c r="VE200" s="6"/>
      <c r="VF200" s="6"/>
      <c r="VG200" s="6"/>
      <c r="VH200" s="6"/>
      <c r="VI200" s="6"/>
      <c r="VJ200" s="6"/>
      <c r="VK200" s="6"/>
      <c r="VL200" s="6"/>
      <c r="VM200" s="6"/>
      <c r="VN200" s="6"/>
      <c r="VO200" s="6"/>
      <c r="VP200" s="6"/>
      <c r="VQ200" s="6"/>
      <c r="VR200" s="6"/>
      <c r="VS200" s="6"/>
      <c r="VT200" s="6"/>
      <c r="VU200" s="6"/>
      <c r="VV200" s="6"/>
      <c r="VW200" s="6"/>
      <c r="VX200" s="6"/>
      <c r="VY200" s="6"/>
      <c r="VZ200" s="6"/>
      <c r="WA200" s="6"/>
      <c r="WB200" s="6"/>
      <c r="WC200" s="6"/>
      <c r="WD200" s="6"/>
      <c r="WE200" s="6"/>
      <c r="WF200" s="6"/>
      <c r="WG200" s="6"/>
      <c r="WH200" s="6"/>
      <c r="WI200" s="6"/>
      <c r="WJ200" s="6"/>
      <c r="WK200" s="6"/>
      <c r="WL200" s="6"/>
      <c r="WM200" s="6"/>
      <c r="WN200" s="6"/>
      <c r="WO200" s="6"/>
      <c r="WP200" s="6"/>
      <c r="WQ200" s="6"/>
      <c r="WR200" s="6"/>
      <c r="WS200" s="6"/>
      <c r="WT200" s="6"/>
      <c r="WU200" s="6"/>
      <c r="WV200" s="6"/>
      <c r="WW200" s="6"/>
      <c r="WX200" s="6"/>
      <c r="WY200" s="6"/>
      <c r="WZ200" s="6"/>
      <c r="XA200" s="6"/>
      <c r="XB200" s="6"/>
      <c r="XC200" s="6"/>
      <c r="XD200" s="6"/>
      <c r="XE200" s="6"/>
      <c r="XF200" s="6"/>
      <c r="XG200" s="6"/>
      <c r="XH200" s="6"/>
      <c r="XI200" s="6"/>
      <c r="XJ200" s="6"/>
      <c r="XK200" s="6"/>
      <c r="XL200" s="6"/>
      <c r="XM200" s="6"/>
      <c r="XN200" s="6"/>
      <c r="XO200" s="6"/>
      <c r="XP200" s="6"/>
      <c r="XQ200" s="6"/>
      <c r="XR200" s="6"/>
      <c r="XS200" s="6"/>
      <c r="XT200" s="6"/>
      <c r="XU200" s="6"/>
      <c r="XV200" s="6"/>
      <c r="XW200" s="6"/>
      <c r="XX200" s="6"/>
      <c r="XY200" s="6"/>
      <c r="XZ200" s="6"/>
      <c r="YA200" s="6"/>
      <c r="YB200" s="6"/>
      <c r="YC200" s="6"/>
      <c r="YD200" s="6"/>
      <c r="YE200" s="6"/>
      <c r="YF200" s="6"/>
      <c r="YG200" s="6"/>
      <c r="YH200" s="6"/>
      <c r="YI200" s="6"/>
      <c r="YJ200" s="6"/>
      <c r="YK200" s="6"/>
      <c r="YL200" s="6"/>
      <c r="YM200" s="6"/>
      <c r="YN200" s="6"/>
      <c r="YO200" s="6"/>
      <c r="YP200" s="6"/>
      <c r="YQ200" s="6"/>
      <c r="YR200" s="6"/>
      <c r="YS200" s="6"/>
      <c r="YT200" s="6"/>
      <c r="YU200" s="6"/>
      <c r="YV200" s="6"/>
      <c r="YW200" s="6"/>
      <c r="YX200" s="6"/>
      <c r="YY200" s="6"/>
      <c r="YZ200" s="6"/>
      <c r="ZA200" s="6"/>
      <c r="ZB200" s="6"/>
      <c r="ZC200" s="6"/>
      <c r="ZD200" s="6"/>
      <c r="ZE200" s="6"/>
      <c r="ZF200" s="6"/>
      <c r="ZG200" s="6"/>
      <c r="ZH200" s="6"/>
      <c r="ZI200" s="6"/>
      <c r="ZJ200" s="6"/>
      <c r="ZK200" s="6"/>
      <c r="ZL200" s="6"/>
      <c r="ZM200" s="6"/>
      <c r="ZN200" s="6"/>
      <c r="ZO200" s="6"/>
      <c r="ZP200" s="6"/>
      <c r="ZQ200" s="6"/>
      <c r="ZR200" s="6"/>
      <c r="ZS200" s="6"/>
      <c r="ZT200" s="6"/>
      <c r="ZU200" s="6"/>
      <c r="ZV200" s="6"/>
      <c r="ZW200" s="6"/>
      <c r="ZX200" s="6"/>
      <c r="ZY200" s="6"/>
      <c r="ZZ200" s="6"/>
      <c r="AAA200" s="6"/>
      <c r="AAB200" s="6"/>
      <c r="AAC200" s="6"/>
      <c r="AAD200" s="6"/>
      <c r="AAE200" s="6"/>
      <c r="AAF200" s="6"/>
      <c r="AAG200" s="6"/>
      <c r="AAH200" s="6"/>
      <c r="AAI200" s="6"/>
      <c r="AAJ200" s="6"/>
      <c r="AAK200" s="6"/>
      <c r="AAL200" s="6"/>
      <c r="AAM200" s="6"/>
      <c r="AAN200" s="6"/>
      <c r="AAO200" s="6"/>
      <c r="AAP200" s="6"/>
      <c r="AAQ200" s="6"/>
      <c r="AAR200" s="6"/>
      <c r="AAS200" s="6"/>
      <c r="AAT200" s="6"/>
      <c r="AAU200" s="6"/>
      <c r="AAV200" s="6"/>
      <c r="AAW200" s="6"/>
      <c r="AAX200" s="6"/>
      <c r="AAY200" s="6"/>
      <c r="AAZ200" s="6"/>
      <c r="ABA200" s="6"/>
      <c r="ABB200" s="6"/>
      <c r="ABC200" s="6"/>
      <c r="ABD200" s="6"/>
      <c r="ABE200" s="6"/>
      <c r="ABF200" s="6"/>
      <c r="ABG200" s="6"/>
      <c r="ABH200" s="6"/>
      <c r="ABI200" s="6"/>
      <c r="ABJ200" s="6"/>
      <c r="ABK200" s="6"/>
      <c r="ABL200" s="6"/>
      <c r="ABM200" s="6"/>
      <c r="ABN200" s="6"/>
      <c r="ABO200" s="6"/>
      <c r="ABP200" s="6"/>
      <c r="ABQ200" s="6"/>
      <c r="ABR200" s="6"/>
      <c r="ABS200" s="6"/>
      <c r="ABT200" s="6"/>
      <c r="ABU200" s="6"/>
      <c r="ABV200" s="6"/>
      <c r="ABW200" s="6"/>
      <c r="ABX200" s="6"/>
      <c r="ABY200" s="6"/>
      <c r="ABZ200" s="6"/>
      <c r="ACA200" s="6"/>
      <c r="ACB200" s="6"/>
      <c r="ACC200" s="6"/>
      <c r="ACD200" s="6"/>
      <c r="ACE200" s="6"/>
      <c r="ACF200" s="6"/>
      <c r="ACG200" s="6"/>
      <c r="ACH200" s="6"/>
      <c r="ACI200" s="6"/>
      <c r="ACJ200" s="6"/>
      <c r="ACK200" s="6"/>
      <c r="ACL200" s="6"/>
      <c r="ACM200" s="6"/>
      <c r="ACN200" s="6"/>
      <c r="ACO200" s="6"/>
      <c r="ACP200" s="6"/>
      <c r="ACQ200" s="6"/>
      <c r="ACR200" s="6"/>
      <c r="ACS200" s="6"/>
      <c r="ACT200" s="6"/>
      <c r="ACU200" s="6"/>
      <c r="ACV200" s="6"/>
      <c r="ACW200" s="6"/>
      <c r="ACX200" s="6"/>
      <c r="ACY200" s="6"/>
      <c r="ACZ200" s="6"/>
      <c r="ADA200" s="6"/>
      <c r="ADB200" s="6"/>
      <c r="ADC200" s="6"/>
      <c r="ADD200" s="6"/>
      <c r="ADE200" s="6"/>
      <c r="ADF200" s="6"/>
      <c r="ADG200" s="6"/>
      <c r="ADH200" s="6"/>
      <c r="ADI200" s="6"/>
      <c r="ADJ200" s="6"/>
    </row>
    <row r="201" spans="1:790" s="291" customFormat="1" x14ac:dyDescent="0.3">
      <c r="A201" s="399"/>
      <c r="B201" s="571" t="s">
        <v>106</v>
      </c>
      <c r="C201" s="366"/>
      <c r="D201" s="367"/>
      <c r="E201" s="367"/>
      <c r="F201" s="362">
        <v>23.2</v>
      </c>
      <c r="G201" s="362">
        <v>4</v>
      </c>
      <c r="H201" s="362">
        <f>+PRODUCT(C201:G201)</f>
        <v>92.8</v>
      </c>
      <c r="I201" s="369" t="s">
        <v>22</v>
      </c>
      <c r="J201" s="362">
        <f>+PRODUCT(C201:G201)</f>
        <v>92.8</v>
      </c>
      <c r="K201" s="363">
        <v>8</v>
      </c>
      <c r="L201" s="370">
        <f t="shared" ref="L201" si="198">J201*K201</f>
        <v>742.4</v>
      </c>
      <c r="M201" s="490">
        <f t="shared" ref="M201" si="199">K201*(100%-16.5%)</f>
        <v>6.68</v>
      </c>
      <c r="N201" s="489">
        <f t="shared" si="138"/>
        <v>619.904</v>
      </c>
      <c r="O201" s="308"/>
      <c r="Q201" s="497"/>
      <c r="R201" s="481">
        <f t="shared" si="148"/>
        <v>92.8</v>
      </c>
      <c r="S201" s="514">
        <f>S173</f>
        <v>3.5</v>
      </c>
      <c r="T201" s="515">
        <f t="shared" si="143"/>
        <v>324.8</v>
      </c>
      <c r="U201" s="482">
        <f t="shared" si="144"/>
        <v>92.8</v>
      </c>
      <c r="V201" s="514"/>
      <c r="W201" s="515" t="str">
        <f t="shared" si="145"/>
        <v/>
      </c>
      <c r="X201" s="507">
        <f t="shared" ref="X201" si="200">V201+S201</f>
        <v>3.5</v>
      </c>
      <c r="Y201" s="520">
        <f t="shared" ref="Y201" si="201">M201-X201</f>
        <v>3.1799999999999997</v>
      </c>
      <c r="Z201" s="521">
        <f t="shared" ref="Z201" si="202">Y201/M201</f>
        <v>0.47604790419161674</v>
      </c>
      <c r="AA201" s="471"/>
      <c r="AB201" s="471"/>
      <c r="AC201" s="471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J201" s="6"/>
      <c r="IK201" s="6"/>
      <c r="IL201" s="6"/>
      <c r="IM201" s="6"/>
      <c r="IN201" s="6"/>
      <c r="IO201" s="6"/>
      <c r="IP201" s="6"/>
      <c r="IQ201" s="6"/>
      <c r="IR201" s="6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6"/>
      <c r="KZ201" s="6"/>
      <c r="LA201" s="6"/>
      <c r="LB201" s="6"/>
      <c r="LC201" s="6"/>
      <c r="LD201" s="6"/>
      <c r="LE201" s="6"/>
      <c r="LF201" s="6"/>
      <c r="LG201" s="6"/>
      <c r="LH201" s="6"/>
      <c r="LI201" s="6"/>
      <c r="LJ201" s="6"/>
      <c r="LK201" s="6"/>
      <c r="LL201" s="6"/>
      <c r="LM201" s="6"/>
      <c r="LN201" s="6"/>
      <c r="LO201" s="6"/>
      <c r="LP201" s="6"/>
      <c r="LQ201" s="6"/>
      <c r="LR201" s="6"/>
      <c r="LS201" s="6"/>
      <c r="LT201" s="6"/>
      <c r="LU201" s="6"/>
      <c r="LV201" s="6"/>
      <c r="LW201" s="6"/>
      <c r="LX201" s="6"/>
      <c r="LY201" s="6"/>
      <c r="LZ201" s="6"/>
      <c r="MA201" s="6"/>
      <c r="MB201" s="6"/>
      <c r="MC201" s="6"/>
      <c r="MD201" s="6"/>
      <c r="ME201" s="6"/>
      <c r="MF201" s="6"/>
      <c r="MG201" s="6"/>
      <c r="MH201" s="6"/>
      <c r="MI201" s="6"/>
      <c r="MJ201" s="6"/>
      <c r="MK201" s="6"/>
      <c r="ML201" s="6"/>
      <c r="MM201" s="6"/>
      <c r="MN201" s="6"/>
      <c r="MO201" s="6"/>
      <c r="MP201" s="6"/>
      <c r="MQ201" s="6"/>
      <c r="MR201" s="6"/>
      <c r="MS201" s="6"/>
      <c r="MT201" s="6"/>
      <c r="MU201" s="6"/>
      <c r="MV201" s="6"/>
      <c r="MW201" s="6"/>
      <c r="MX201" s="6"/>
      <c r="MY201" s="6"/>
      <c r="MZ201" s="6"/>
      <c r="NA201" s="6"/>
      <c r="NB201" s="6"/>
      <c r="NC201" s="6"/>
      <c r="ND201" s="6"/>
      <c r="NE201" s="6"/>
      <c r="NF201" s="6"/>
      <c r="NG201" s="6"/>
      <c r="NH201" s="6"/>
      <c r="NI201" s="6"/>
      <c r="NJ201" s="6"/>
      <c r="NK201" s="6"/>
      <c r="NL201" s="6"/>
      <c r="NM201" s="6"/>
      <c r="NN201" s="6"/>
      <c r="NO201" s="6"/>
      <c r="NP201" s="6"/>
      <c r="NQ201" s="6"/>
      <c r="NR201" s="6"/>
      <c r="NS201" s="6"/>
      <c r="NT201" s="6"/>
      <c r="NU201" s="6"/>
      <c r="NV201" s="6"/>
      <c r="NW201" s="6"/>
      <c r="NX201" s="6"/>
      <c r="NY201" s="6"/>
      <c r="NZ201" s="6"/>
      <c r="OA201" s="6"/>
      <c r="OB201" s="6"/>
      <c r="OC201" s="6"/>
      <c r="OD201" s="6"/>
      <c r="OE201" s="6"/>
      <c r="OF201" s="6"/>
      <c r="OG201" s="6"/>
      <c r="OH201" s="6"/>
      <c r="OI201" s="6"/>
      <c r="OJ201" s="6"/>
      <c r="OK201" s="6"/>
      <c r="OL201" s="6"/>
      <c r="OM201" s="6"/>
      <c r="ON201" s="6"/>
      <c r="OO201" s="6"/>
      <c r="OP201" s="6"/>
      <c r="OQ201" s="6"/>
      <c r="OR201" s="6"/>
      <c r="OS201" s="6"/>
      <c r="OT201" s="6"/>
      <c r="OU201" s="6"/>
      <c r="OV201" s="6"/>
      <c r="OW201" s="6"/>
      <c r="OX201" s="6"/>
      <c r="OY201" s="6"/>
      <c r="OZ201" s="6"/>
      <c r="PA201" s="6"/>
      <c r="PB201" s="6"/>
      <c r="PC201" s="6"/>
      <c r="PD201" s="6"/>
      <c r="PE201" s="6"/>
      <c r="PF201" s="6"/>
      <c r="PG201" s="6"/>
      <c r="PH201" s="6"/>
      <c r="PI201" s="6"/>
      <c r="PJ201" s="6"/>
      <c r="PK201" s="6"/>
      <c r="PL201" s="6"/>
      <c r="PM201" s="6"/>
      <c r="PN201" s="6"/>
      <c r="PO201" s="6"/>
      <c r="PP201" s="6"/>
      <c r="PQ201" s="6"/>
      <c r="PR201" s="6"/>
      <c r="PS201" s="6"/>
      <c r="PT201" s="6"/>
      <c r="PU201" s="6"/>
      <c r="PV201" s="6"/>
      <c r="PW201" s="6"/>
      <c r="PX201" s="6"/>
      <c r="PY201" s="6"/>
      <c r="PZ201" s="6"/>
      <c r="QA201" s="6"/>
      <c r="QB201" s="6"/>
      <c r="QC201" s="6"/>
      <c r="QD201" s="6"/>
      <c r="QE201" s="6"/>
      <c r="QF201" s="6"/>
      <c r="QG201" s="6"/>
      <c r="QH201" s="6"/>
      <c r="QI201" s="6"/>
      <c r="QJ201" s="6"/>
      <c r="QK201" s="6"/>
      <c r="QL201" s="6"/>
      <c r="QM201" s="6"/>
      <c r="QN201" s="6"/>
      <c r="QO201" s="6"/>
      <c r="QP201" s="6"/>
      <c r="QQ201" s="6"/>
      <c r="QR201" s="6"/>
      <c r="QS201" s="6"/>
      <c r="QT201" s="6"/>
      <c r="QU201" s="6"/>
      <c r="QV201" s="6"/>
      <c r="QW201" s="6"/>
      <c r="QX201" s="6"/>
      <c r="QY201" s="6"/>
      <c r="QZ201" s="6"/>
      <c r="RA201" s="6"/>
      <c r="RB201" s="6"/>
      <c r="RC201" s="6"/>
      <c r="RD201" s="6"/>
      <c r="RE201" s="6"/>
      <c r="RF201" s="6"/>
      <c r="RG201" s="6"/>
      <c r="RH201" s="6"/>
      <c r="RI201" s="6"/>
      <c r="RJ201" s="6"/>
      <c r="RK201" s="6"/>
      <c r="RL201" s="6"/>
      <c r="RM201" s="6"/>
      <c r="RN201" s="6"/>
      <c r="RO201" s="6"/>
      <c r="RP201" s="6"/>
      <c r="RQ201" s="6"/>
      <c r="RR201" s="6"/>
      <c r="RS201" s="6"/>
      <c r="RT201" s="6"/>
      <c r="RU201" s="6"/>
      <c r="RV201" s="6"/>
      <c r="RW201" s="6"/>
      <c r="RX201" s="6"/>
      <c r="RY201" s="6"/>
      <c r="RZ201" s="6"/>
      <c r="SA201" s="6"/>
      <c r="SB201" s="6"/>
      <c r="SC201" s="6"/>
      <c r="SD201" s="6"/>
      <c r="SE201" s="6"/>
      <c r="SF201" s="6"/>
      <c r="SG201" s="6"/>
      <c r="SH201" s="6"/>
      <c r="SI201" s="6"/>
      <c r="SJ201" s="6"/>
      <c r="SK201" s="6"/>
      <c r="SL201" s="6"/>
      <c r="SM201" s="6"/>
      <c r="SN201" s="6"/>
      <c r="SO201" s="6"/>
      <c r="SP201" s="6"/>
      <c r="SQ201" s="6"/>
      <c r="SR201" s="6"/>
      <c r="SS201" s="6"/>
      <c r="ST201" s="6"/>
      <c r="SU201" s="6"/>
      <c r="SV201" s="6"/>
      <c r="SW201" s="6"/>
      <c r="SX201" s="6"/>
      <c r="SY201" s="6"/>
      <c r="SZ201" s="6"/>
      <c r="TA201" s="6"/>
      <c r="TB201" s="6"/>
      <c r="TC201" s="6"/>
      <c r="TD201" s="6"/>
      <c r="TE201" s="6"/>
      <c r="TF201" s="6"/>
      <c r="TG201" s="6"/>
      <c r="TH201" s="6"/>
      <c r="TI201" s="6"/>
      <c r="TJ201" s="6"/>
      <c r="TK201" s="6"/>
      <c r="TL201" s="6"/>
      <c r="TM201" s="6"/>
      <c r="TN201" s="6"/>
      <c r="TO201" s="6"/>
      <c r="TP201" s="6"/>
      <c r="TQ201" s="6"/>
      <c r="TR201" s="6"/>
      <c r="TS201" s="6"/>
      <c r="TT201" s="6"/>
      <c r="TU201" s="6"/>
      <c r="TV201" s="6"/>
      <c r="TW201" s="6"/>
      <c r="TX201" s="6"/>
      <c r="TY201" s="6"/>
      <c r="TZ201" s="6"/>
      <c r="UA201" s="6"/>
      <c r="UB201" s="6"/>
      <c r="UC201" s="6"/>
      <c r="UD201" s="6"/>
      <c r="UE201" s="6"/>
      <c r="UF201" s="6"/>
      <c r="UG201" s="6"/>
      <c r="UH201" s="6"/>
      <c r="UI201" s="6"/>
      <c r="UJ201" s="6"/>
      <c r="UK201" s="6"/>
      <c r="UL201" s="6"/>
      <c r="UM201" s="6"/>
      <c r="UN201" s="6"/>
      <c r="UO201" s="6"/>
      <c r="UP201" s="6"/>
      <c r="UQ201" s="6"/>
      <c r="UR201" s="6"/>
      <c r="US201" s="6"/>
      <c r="UT201" s="6"/>
      <c r="UU201" s="6"/>
      <c r="UV201" s="6"/>
      <c r="UW201" s="6"/>
      <c r="UX201" s="6"/>
      <c r="UY201" s="6"/>
      <c r="UZ201" s="6"/>
      <c r="VA201" s="6"/>
      <c r="VB201" s="6"/>
      <c r="VC201" s="6"/>
      <c r="VD201" s="6"/>
      <c r="VE201" s="6"/>
      <c r="VF201" s="6"/>
      <c r="VG201" s="6"/>
      <c r="VH201" s="6"/>
      <c r="VI201" s="6"/>
      <c r="VJ201" s="6"/>
      <c r="VK201" s="6"/>
      <c r="VL201" s="6"/>
      <c r="VM201" s="6"/>
      <c r="VN201" s="6"/>
      <c r="VO201" s="6"/>
      <c r="VP201" s="6"/>
      <c r="VQ201" s="6"/>
      <c r="VR201" s="6"/>
      <c r="VS201" s="6"/>
      <c r="VT201" s="6"/>
      <c r="VU201" s="6"/>
      <c r="VV201" s="6"/>
      <c r="VW201" s="6"/>
      <c r="VX201" s="6"/>
      <c r="VY201" s="6"/>
      <c r="VZ201" s="6"/>
      <c r="WA201" s="6"/>
      <c r="WB201" s="6"/>
      <c r="WC201" s="6"/>
      <c r="WD201" s="6"/>
      <c r="WE201" s="6"/>
      <c r="WF201" s="6"/>
      <c r="WG201" s="6"/>
      <c r="WH201" s="6"/>
      <c r="WI201" s="6"/>
      <c r="WJ201" s="6"/>
      <c r="WK201" s="6"/>
      <c r="WL201" s="6"/>
      <c r="WM201" s="6"/>
      <c r="WN201" s="6"/>
      <c r="WO201" s="6"/>
      <c r="WP201" s="6"/>
      <c r="WQ201" s="6"/>
      <c r="WR201" s="6"/>
      <c r="WS201" s="6"/>
      <c r="WT201" s="6"/>
      <c r="WU201" s="6"/>
      <c r="WV201" s="6"/>
      <c r="WW201" s="6"/>
      <c r="WX201" s="6"/>
      <c r="WY201" s="6"/>
      <c r="WZ201" s="6"/>
      <c r="XA201" s="6"/>
      <c r="XB201" s="6"/>
      <c r="XC201" s="6"/>
      <c r="XD201" s="6"/>
      <c r="XE201" s="6"/>
      <c r="XF201" s="6"/>
      <c r="XG201" s="6"/>
      <c r="XH201" s="6"/>
      <c r="XI201" s="6"/>
      <c r="XJ201" s="6"/>
      <c r="XK201" s="6"/>
      <c r="XL201" s="6"/>
      <c r="XM201" s="6"/>
      <c r="XN201" s="6"/>
      <c r="XO201" s="6"/>
      <c r="XP201" s="6"/>
      <c r="XQ201" s="6"/>
      <c r="XR201" s="6"/>
      <c r="XS201" s="6"/>
      <c r="XT201" s="6"/>
      <c r="XU201" s="6"/>
      <c r="XV201" s="6"/>
      <c r="XW201" s="6"/>
      <c r="XX201" s="6"/>
      <c r="XY201" s="6"/>
      <c r="XZ201" s="6"/>
      <c r="YA201" s="6"/>
      <c r="YB201" s="6"/>
      <c r="YC201" s="6"/>
      <c r="YD201" s="6"/>
      <c r="YE201" s="6"/>
      <c r="YF201" s="6"/>
      <c r="YG201" s="6"/>
      <c r="YH201" s="6"/>
      <c r="YI201" s="6"/>
      <c r="YJ201" s="6"/>
      <c r="YK201" s="6"/>
      <c r="YL201" s="6"/>
      <c r="YM201" s="6"/>
      <c r="YN201" s="6"/>
      <c r="YO201" s="6"/>
      <c r="YP201" s="6"/>
      <c r="YQ201" s="6"/>
      <c r="YR201" s="6"/>
      <c r="YS201" s="6"/>
      <c r="YT201" s="6"/>
      <c r="YU201" s="6"/>
      <c r="YV201" s="6"/>
      <c r="YW201" s="6"/>
      <c r="YX201" s="6"/>
      <c r="YY201" s="6"/>
      <c r="YZ201" s="6"/>
      <c r="ZA201" s="6"/>
      <c r="ZB201" s="6"/>
      <c r="ZC201" s="6"/>
      <c r="ZD201" s="6"/>
      <c r="ZE201" s="6"/>
      <c r="ZF201" s="6"/>
      <c r="ZG201" s="6"/>
      <c r="ZH201" s="6"/>
      <c r="ZI201" s="6"/>
      <c r="ZJ201" s="6"/>
      <c r="ZK201" s="6"/>
      <c r="ZL201" s="6"/>
      <c r="ZM201" s="6"/>
      <c r="ZN201" s="6"/>
      <c r="ZO201" s="6"/>
      <c r="ZP201" s="6"/>
      <c r="ZQ201" s="6"/>
      <c r="ZR201" s="6"/>
      <c r="ZS201" s="6"/>
      <c r="ZT201" s="6"/>
      <c r="ZU201" s="6"/>
      <c r="ZV201" s="6"/>
      <c r="ZW201" s="6"/>
      <c r="ZX201" s="6"/>
      <c r="ZY201" s="6"/>
      <c r="ZZ201" s="6"/>
      <c r="AAA201" s="6"/>
      <c r="AAB201" s="6"/>
      <c r="AAC201" s="6"/>
      <c r="AAD201" s="6"/>
      <c r="AAE201" s="6"/>
      <c r="AAF201" s="6"/>
      <c r="AAG201" s="6"/>
      <c r="AAH201" s="6"/>
      <c r="AAI201" s="6"/>
      <c r="AAJ201" s="6"/>
      <c r="AAK201" s="6"/>
      <c r="AAL201" s="6"/>
      <c r="AAM201" s="6"/>
      <c r="AAN201" s="6"/>
      <c r="AAO201" s="6"/>
      <c r="AAP201" s="6"/>
      <c r="AAQ201" s="6"/>
      <c r="AAR201" s="6"/>
      <c r="AAS201" s="6"/>
      <c r="AAT201" s="6"/>
      <c r="AAU201" s="6"/>
      <c r="AAV201" s="6"/>
      <c r="AAW201" s="6"/>
      <c r="AAX201" s="6"/>
      <c r="AAY201" s="6"/>
      <c r="AAZ201" s="6"/>
      <c r="ABA201" s="6"/>
      <c r="ABB201" s="6"/>
      <c r="ABC201" s="6"/>
      <c r="ABD201" s="6"/>
      <c r="ABE201" s="6"/>
      <c r="ABF201" s="6"/>
      <c r="ABG201" s="6"/>
      <c r="ABH201" s="6"/>
      <c r="ABI201" s="6"/>
      <c r="ABJ201" s="6"/>
      <c r="ABK201" s="6"/>
      <c r="ABL201" s="6"/>
      <c r="ABM201" s="6"/>
      <c r="ABN201" s="6"/>
      <c r="ABO201" s="6"/>
      <c r="ABP201" s="6"/>
      <c r="ABQ201" s="6"/>
      <c r="ABR201" s="6"/>
      <c r="ABS201" s="6"/>
      <c r="ABT201" s="6"/>
      <c r="ABU201" s="6"/>
      <c r="ABV201" s="6"/>
      <c r="ABW201" s="6"/>
      <c r="ABX201" s="6"/>
      <c r="ABY201" s="6"/>
      <c r="ABZ201" s="6"/>
      <c r="ACA201" s="6"/>
      <c r="ACB201" s="6"/>
      <c r="ACC201" s="6"/>
      <c r="ACD201" s="6"/>
      <c r="ACE201" s="6"/>
      <c r="ACF201" s="6"/>
      <c r="ACG201" s="6"/>
      <c r="ACH201" s="6"/>
      <c r="ACI201" s="6"/>
      <c r="ACJ201" s="6"/>
      <c r="ACK201" s="6"/>
      <c r="ACL201" s="6"/>
      <c r="ACM201" s="6"/>
      <c r="ACN201" s="6"/>
      <c r="ACO201" s="6"/>
      <c r="ACP201" s="6"/>
      <c r="ACQ201" s="6"/>
      <c r="ACR201" s="6"/>
      <c r="ACS201" s="6"/>
      <c r="ACT201" s="6"/>
      <c r="ACU201" s="6"/>
      <c r="ACV201" s="6"/>
      <c r="ACW201" s="6"/>
      <c r="ACX201" s="6"/>
      <c r="ACY201" s="6"/>
      <c r="ACZ201" s="6"/>
      <c r="ADA201" s="6"/>
      <c r="ADB201" s="6"/>
      <c r="ADC201" s="6"/>
      <c r="ADD201" s="6"/>
      <c r="ADE201" s="6"/>
      <c r="ADF201" s="6"/>
      <c r="ADG201" s="6"/>
      <c r="ADH201" s="6"/>
      <c r="ADI201" s="6"/>
      <c r="ADJ201" s="6"/>
    </row>
    <row r="202" spans="1:790" s="291" customFormat="1" x14ac:dyDescent="0.3">
      <c r="A202" s="399"/>
      <c r="B202" s="558"/>
      <c r="C202" s="366"/>
      <c r="D202" s="367"/>
      <c r="E202" s="367"/>
      <c r="F202" s="362"/>
      <c r="G202" s="362"/>
      <c r="H202" s="362"/>
      <c r="I202" s="369"/>
      <c r="J202" s="362"/>
      <c r="K202" s="363"/>
      <c r="L202" s="370"/>
      <c r="M202" s="490"/>
      <c r="N202" s="489" t="str">
        <f t="shared" si="138"/>
        <v/>
      </c>
      <c r="O202" s="308"/>
      <c r="Q202" s="497"/>
      <c r="R202" s="481"/>
      <c r="S202" s="514"/>
      <c r="T202" s="515" t="str">
        <f t="shared" si="143"/>
        <v/>
      </c>
      <c r="U202" s="482" t="str">
        <f t="shared" si="144"/>
        <v/>
      </c>
      <c r="V202" s="514"/>
      <c r="W202" s="515" t="str">
        <f t="shared" si="145"/>
        <v/>
      </c>
      <c r="X202" s="507"/>
      <c r="Y202" s="507"/>
      <c r="Z202" s="478"/>
      <c r="AA202" s="471"/>
      <c r="AB202" s="471"/>
      <c r="AC202" s="471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6"/>
      <c r="KZ202" s="6"/>
      <c r="LA202" s="6"/>
      <c r="LB202" s="6"/>
      <c r="LC202" s="6"/>
      <c r="LD202" s="6"/>
      <c r="LE202" s="6"/>
      <c r="LF202" s="6"/>
      <c r="LG202" s="6"/>
      <c r="LH202" s="6"/>
      <c r="LI202" s="6"/>
      <c r="LJ202" s="6"/>
      <c r="LK202" s="6"/>
      <c r="LL202" s="6"/>
      <c r="LM202" s="6"/>
      <c r="LN202" s="6"/>
      <c r="LO202" s="6"/>
      <c r="LP202" s="6"/>
      <c r="LQ202" s="6"/>
      <c r="LR202" s="6"/>
      <c r="LS202" s="6"/>
      <c r="LT202" s="6"/>
      <c r="LU202" s="6"/>
      <c r="LV202" s="6"/>
      <c r="LW202" s="6"/>
      <c r="LX202" s="6"/>
      <c r="LY202" s="6"/>
      <c r="LZ202" s="6"/>
      <c r="MA202" s="6"/>
      <c r="MB202" s="6"/>
      <c r="MC202" s="6"/>
      <c r="MD202" s="6"/>
      <c r="ME202" s="6"/>
      <c r="MF202" s="6"/>
      <c r="MG202" s="6"/>
      <c r="MH202" s="6"/>
      <c r="MI202" s="6"/>
      <c r="MJ202" s="6"/>
      <c r="MK202" s="6"/>
      <c r="ML202" s="6"/>
      <c r="MM202" s="6"/>
      <c r="MN202" s="6"/>
      <c r="MO202" s="6"/>
      <c r="MP202" s="6"/>
      <c r="MQ202" s="6"/>
      <c r="MR202" s="6"/>
      <c r="MS202" s="6"/>
      <c r="MT202" s="6"/>
      <c r="MU202" s="6"/>
      <c r="MV202" s="6"/>
      <c r="MW202" s="6"/>
      <c r="MX202" s="6"/>
      <c r="MY202" s="6"/>
      <c r="MZ202" s="6"/>
      <c r="NA202" s="6"/>
      <c r="NB202" s="6"/>
      <c r="NC202" s="6"/>
      <c r="ND202" s="6"/>
      <c r="NE202" s="6"/>
      <c r="NF202" s="6"/>
      <c r="NG202" s="6"/>
      <c r="NH202" s="6"/>
      <c r="NI202" s="6"/>
      <c r="NJ202" s="6"/>
      <c r="NK202" s="6"/>
      <c r="NL202" s="6"/>
      <c r="NM202" s="6"/>
      <c r="NN202" s="6"/>
      <c r="NO202" s="6"/>
      <c r="NP202" s="6"/>
      <c r="NQ202" s="6"/>
      <c r="NR202" s="6"/>
      <c r="NS202" s="6"/>
      <c r="NT202" s="6"/>
      <c r="NU202" s="6"/>
      <c r="NV202" s="6"/>
      <c r="NW202" s="6"/>
      <c r="NX202" s="6"/>
      <c r="NY202" s="6"/>
      <c r="NZ202" s="6"/>
      <c r="OA202" s="6"/>
      <c r="OB202" s="6"/>
      <c r="OC202" s="6"/>
      <c r="OD202" s="6"/>
      <c r="OE202" s="6"/>
      <c r="OF202" s="6"/>
      <c r="OG202" s="6"/>
      <c r="OH202" s="6"/>
      <c r="OI202" s="6"/>
      <c r="OJ202" s="6"/>
      <c r="OK202" s="6"/>
      <c r="OL202" s="6"/>
      <c r="OM202" s="6"/>
      <c r="ON202" s="6"/>
      <c r="OO202" s="6"/>
      <c r="OP202" s="6"/>
      <c r="OQ202" s="6"/>
      <c r="OR202" s="6"/>
      <c r="OS202" s="6"/>
      <c r="OT202" s="6"/>
      <c r="OU202" s="6"/>
      <c r="OV202" s="6"/>
      <c r="OW202" s="6"/>
      <c r="OX202" s="6"/>
      <c r="OY202" s="6"/>
      <c r="OZ202" s="6"/>
      <c r="PA202" s="6"/>
      <c r="PB202" s="6"/>
      <c r="PC202" s="6"/>
      <c r="PD202" s="6"/>
      <c r="PE202" s="6"/>
      <c r="PF202" s="6"/>
      <c r="PG202" s="6"/>
      <c r="PH202" s="6"/>
      <c r="PI202" s="6"/>
      <c r="PJ202" s="6"/>
      <c r="PK202" s="6"/>
      <c r="PL202" s="6"/>
      <c r="PM202" s="6"/>
      <c r="PN202" s="6"/>
      <c r="PO202" s="6"/>
      <c r="PP202" s="6"/>
      <c r="PQ202" s="6"/>
      <c r="PR202" s="6"/>
      <c r="PS202" s="6"/>
      <c r="PT202" s="6"/>
      <c r="PU202" s="6"/>
      <c r="PV202" s="6"/>
      <c r="PW202" s="6"/>
      <c r="PX202" s="6"/>
      <c r="PY202" s="6"/>
      <c r="PZ202" s="6"/>
      <c r="QA202" s="6"/>
      <c r="QB202" s="6"/>
      <c r="QC202" s="6"/>
      <c r="QD202" s="6"/>
      <c r="QE202" s="6"/>
      <c r="QF202" s="6"/>
      <c r="QG202" s="6"/>
      <c r="QH202" s="6"/>
      <c r="QI202" s="6"/>
      <c r="QJ202" s="6"/>
      <c r="QK202" s="6"/>
      <c r="QL202" s="6"/>
      <c r="QM202" s="6"/>
      <c r="QN202" s="6"/>
      <c r="QO202" s="6"/>
      <c r="QP202" s="6"/>
      <c r="QQ202" s="6"/>
      <c r="QR202" s="6"/>
      <c r="QS202" s="6"/>
      <c r="QT202" s="6"/>
      <c r="QU202" s="6"/>
      <c r="QV202" s="6"/>
      <c r="QW202" s="6"/>
      <c r="QX202" s="6"/>
      <c r="QY202" s="6"/>
      <c r="QZ202" s="6"/>
      <c r="RA202" s="6"/>
      <c r="RB202" s="6"/>
      <c r="RC202" s="6"/>
      <c r="RD202" s="6"/>
      <c r="RE202" s="6"/>
      <c r="RF202" s="6"/>
      <c r="RG202" s="6"/>
      <c r="RH202" s="6"/>
      <c r="RI202" s="6"/>
      <c r="RJ202" s="6"/>
      <c r="RK202" s="6"/>
      <c r="RL202" s="6"/>
      <c r="RM202" s="6"/>
      <c r="RN202" s="6"/>
      <c r="RO202" s="6"/>
      <c r="RP202" s="6"/>
      <c r="RQ202" s="6"/>
      <c r="RR202" s="6"/>
      <c r="RS202" s="6"/>
      <c r="RT202" s="6"/>
      <c r="RU202" s="6"/>
      <c r="RV202" s="6"/>
      <c r="RW202" s="6"/>
      <c r="RX202" s="6"/>
      <c r="RY202" s="6"/>
      <c r="RZ202" s="6"/>
      <c r="SA202" s="6"/>
      <c r="SB202" s="6"/>
      <c r="SC202" s="6"/>
      <c r="SD202" s="6"/>
      <c r="SE202" s="6"/>
      <c r="SF202" s="6"/>
      <c r="SG202" s="6"/>
      <c r="SH202" s="6"/>
      <c r="SI202" s="6"/>
      <c r="SJ202" s="6"/>
      <c r="SK202" s="6"/>
      <c r="SL202" s="6"/>
      <c r="SM202" s="6"/>
      <c r="SN202" s="6"/>
      <c r="SO202" s="6"/>
      <c r="SP202" s="6"/>
      <c r="SQ202" s="6"/>
      <c r="SR202" s="6"/>
      <c r="SS202" s="6"/>
      <c r="ST202" s="6"/>
      <c r="SU202" s="6"/>
      <c r="SV202" s="6"/>
      <c r="SW202" s="6"/>
      <c r="SX202" s="6"/>
      <c r="SY202" s="6"/>
      <c r="SZ202" s="6"/>
      <c r="TA202" s="6"/>
      <c r="TB202" s="6"/>
      <c r="TC202" s="6"/>
      <c r="TD202" s="6"/>
      <c r="TE202" s="6"/>
      <c r="TF202" s="6"/>
      <c r="TG202" s="6"/>
      <c r="TH202" s="6"/>
      <c r="TI202" s="6"/>
      <c r="TJ202" s="6"/>
      <c r="TK202" s="6"/>
      <c r="TL202" s="6"/>
      <c r="TM202" s="6"/>
      <c r="TN202" s="6"/>
      <c r="TO202" s="6"/>
      <c r="TP202" s="6"/>
      <c r="TQ202" s="6"/>
      <c r="TR202" s="6"/>
      <c r="TS202" s="6"/>
      <c r="TT202" s="6"/>
      <c r="TU202" s="6"/>
      <c r="TV202" s="6"/>
      <c r="TW202" s="6"/>
      <c r="TX202" s="6"/>
      <c r="TY202" s="6"/>
      <c r="TZ202" s="6"/>
      <c r="UA202" s="6"/>
      <c r="UB202" s="6"/>
      <c r="UC202" s="6"/>
      <c r="UD202" s="6"/>
      <c r="UE202" s="6"/>
      <c r="UF202" s="6"/>
      <c r="UG202" s="6"/>
      <c r="UH202" s="6"/>
      <c r="UI202" s="6"/>
      <c r="UJ202" s="6"/>
      <c r="UK202" s="6"/>
      <c r="UL202" s="6"/>
      <c r="UM202" s="6"/>
      <c r="UN202" s="6"/>
      <c r="UO202" s="6"/>
      <c r="UP202" s="6"/>
      <c r="UQ202" s="6"/>
      <c r="UR202" s="6"/>
      <c r="US202" s="6"/>
      <c r="UT202" s="6"/>
      <c r="UU202" s="6"/>
      <c r="UV202" s="6"/>
      <c r="UW202" s="6"/>
      <c r="UX202" s="6"/>
      <c r="UY202" s="6"/>
      <c r="UZ202" s="6"/>
      <c r="VA202" s="6"/>
      <c r="VB202" s="6"/>
      <c r="VC202" s="6"/>
      <c r="VD202" s="6"/>
      <c r="VE202" s="6"/>
      <c r="VF202" s="6"/>
      <c r="VG202" s="6"/>
      <c r="VH202" s="6"/>
      <c r="VI202" s="6"/>
      <c r="VJ202" s="6"/>
      <c r="VK202" s="6"/>
      <c r="VL202" s="6"/>
      <c r="VM202" s="6"/>
      <c r="VN202" s="6"/>
      <c r="VO202" s="6"/>
      <c r="VP202" s="6"/>
      <c r="VQ202" s="6"/>
      <c r="VR202" s="6"/>
      <c r="VS202" s="6"/>
      <c r="VT202" s="6"/>
      <c r="VU202" s="6"/>
      <c r="VV202" s="6"/>
      <c r="VW202" s="6"/>
      <c r="VX202" s="6"/>
      <c r="VY202" s="6"/>
      <c r="VZ202" s="6"/>
      <c r="WA202" s="6"/>
      <c r="WB202" s="6"/>
      <c r="WC202" s="6"/>
      <c r="WD202" s="6"/>
      <c r="WE202" s="6"/>
      <c r="WF202" s="6"/>
      <c r="WG202" s="6"/>
      <c r="WH202" s="6"/>
      <c r="WI202" s="6"/>
      <c r="WJ202" s="6"/>
      <c r="WK202" s="6"/>
      <c r="WL202" s="6"/>
      <c r="WM202" s="6"/>
      <c r="WN202" s="6"/>
      <c r="WO202" s="6"/>
      <c r="WP202" s="6"/>
      <c r="WQ202" s="6"/>
      <c r="WR202" s="6"/>
      <c r="WS202" s="6"/>
      <c r="WT202" s="6"/>
      <c r="WU202" s="6"/>
      <c r="WV202" s="6"/>
      <c r="WW202" s="6"/>
      <c r="WX202" s="6"/>
      <c r="WY202" s="6"/>
      <c r="WZ202" s="6"/>
      <c r="XA202" s="6"/>
      <c r="XB202" s="6"/>
      <c r="XC202" s="6"/>
      <c r="XD202" s="6"/>
      <c r="XE202" s="6"/>
      <c r="XF202" s="6"/>
      <c r="XG202" s="6"/>
      <c r="XH202" s="6"/>
      <c r="XI202" s="6"/>
      <c r="XJ202" s="6"/>
      <c r="XK202" s="6"/>
      <c r="XL202" s="6"/>
      <c r="XM202" s="6"/>
      <c r="XN202" s="6"/>
      <c r="XO202" s="6"/>
      <c r="XP202" s="6"/>
      <c r="XQ202" s="6"/>
      <c r="XR202" s="6"/>
      <c r="XS202" s="6"/>
      <c r="XT202" s="6"/>
      <c r="XU202" s="6"/>
      <c r="XV202" s="6"/>
      <c r="XW202" s="6"/>
      <c r="XX202" s="6"/>
      <c r="XY202" s="6"/>
      <c r="XZ202" s="6"/>
      <c r="YA202" s="6"/>
      <c r="YB202" s="6"/>
      <c r="YC202" s="6"/>
      <c r="YD202" s="6"/>
      <c r="YE202" s="6"/>
      <c r="YF202" s="6"/>
      <c r="YG202" s="6"/>
      <c r="YH202" s="6"/>
      <c r="YI202" s="6"/>
      <c r="YJ202" s="6"/>
      <c r="YK202" s="6"/>
      <c r="YL202" s="6"/>
      <c r="YM202" s="6"/>
      <c r="YN202" s="6"/>
      <c r="YO202" s="6"/>
      <c r="YP202" s="6"/>
      <c r="YQ202" s="6"/>
      <c r="YR202" s="6"/>
      <c r="YS202" s="6"/>
      <c r="YT202" s="6"/>
      <c r="YU202" s="6"/>
      <c r="YV202" s="6"/>
      <c r="YW202" s="6"/>
      <c r="YX202" s="6"/>
      <c r="YY202" s="6"/>
      <c r="YZ202" s="6"/>
      <c r="ZA202" s="6"/>
      <c r="ZB202" s="6"/>
      <c r="ZC202" s="6"/>
      <c r="ZD202" s="6"/>
      <c r="ZE202" s="6"/>
      <c r="ZF202" s="6"/>
      <c r="ZG202" s="6"/>
      <c r="ZH202" s="6"/>
      <c r="ZI202" s="6"/>
      <c r="ZJ202" s="6"/>
      <c r="ZK202" s="6"/>
      <c r="ZL202" s="6"/>
      <c r="ZM202" s="6"/>
      <c r="ZN202" s="6"/>
      <c r="ZO202" s="6"/>
      <c r="ZP202" s="6"/>
      <c r="ZQ202" s="6"/>
      <c r="ZR202" s="6"/>
      <c r="ZS202" s="6"/>
      <c r="ZT202" s="6"/>
      <c r="ZU202" s="6"/>
      <c r="ZV202" s="6"/>
      <c r="ZW202" s="6"/>
      <c r="ZX202" s="6"/>
      <c r="ZY202" s="6"/>
      <c r="ZZ202" s="6"/>
      <c r="AAA202" s="6"/>
      <c r="AAB202" s="6"/>
      <c r="AAC202" s="6"/>
      <c r="AAD202" s="6"/>
      <c r="AAE202" s="6"/>
      <c r="AAF202" s="6"/>
      <c r="AAG202" s="6"/>
      <c r="AAH202" s="6"/>
      <c r="AAI202" s="6"/>
      <c r="AAJ202" s="6"/>
      <c r="AAK202" s="6"/>
      <c r="AAL202" s="6"/>
      <c r="AAM202" s="6"/>
      <c r="AAN202" s="6"/>
      <c r="AAO202" s="6"/>
      <c r="AAP202" s="6"/>
      <c r="AAQ202" s="6"/>
      <c r="AAR202" s="6"/>
      <c r="AAS202" s="6"/>
      <c r="AAT202" s="6"/>
      <c r="AAU202" s="6"/>
      <c r="AAV202" s="6"/>
      <c r="AAW202" s="6"/>
      <c r="AAX202" s="6"/>
      <c r="AAY202" s="6"/>
      <c r="AAZ202" s="6"/>
      <c r="ABA202" s="6"/>
      <c r="ABB202" s="6"/>
      <c r="ABC202" s="6"/>
      <c r="ABD202" s="6"/>
      <c r="ABE202" s="6"/>
      <c r="ABF202" s="6"/>
      <c r="ABG202" s="6"/>
      <c r="ABH202" s="6"/>
      <c r="ABI202" s="6"/>
      <c r="ABJ202" s="6"/>
      <c r="ABK202" s="6"/>
      <c r="ABL202" s="6"/>
      <c r="ABM202" s="6"/>
      <c r="ABN202" s="6"/>
      <c r="ABO202" s="6"/>
      <c r="ABP202" s="6"/>
      <c r="ABQ202" s="6"/>
      <c r="ABR202" s="6"/>
      <c r="ABS202" s="6"/>
      <c r="ABT202" s="6"/>
      <c r="ABU202" s="6"/>
      <c r="ABV202" s="6"/>
      <c r="ABW202" s="6"/>
      <c r="ABX202" s="6"/>
      <c r="ABY202" s="6"/>
      <c r="ABZ202" s="6"/>
      <c r="ACA202" s="6"/>
      <c r="ACB202" s="6"/>
      <c r="ACC202" s="6"/>
      <c r="ACD202" s="6"/>
      <c r="ACE202" s="6"/>
      <c r="ACF202" s="6"/>
      <c r="ACG202" s="6"/>
      <c r="ACH202" s="6"/>
      <c r="ACI202" s="6"/>
      <c r="ACJ202" s="6"/>
      <c r="ACK202" s="6"/>
      <c r="ACL202" s="6"/>
      <c r="ACM202" s="6"/>
      <c r="ACN202" s="6"/>
      <c r="ACO202" s="6"/>
      <c r="ACP202" s="6"/>
      <c r="ACQ202" s="6"/>
      <c r="ACR202" s="6"/>
      <c r="ACS202" s="6"/>
      <c r="ACT202" s="6"/>
      <c r="ACU202" s="6"/>
      <c r="ACV202" s="6"/>
      <c r="ACW202" s="6"/>
      <c r="ACX202" s="6"/>
      <c r="ACY202" s="6"/>
      <c r="ACZ202" s="6"/>
      <c r="ADA202" s="6"/>
      <c r="ADB202" s="6"/>
      <c r="ADC202" s="6"/>
      <c r="ADD202" s="6"/>
      <c r="ADE202" s="6"/>
      <c r="ADF202" s="6"/>
      <c r="ADG202" s="6"/>
      <c r="ADH202" s="6"/>
      <c r="ADI202" s="6"/>
      <c r="ADJ202" s="6"/>
    </row>
    <row r="203" spans="1:790" s="291" customFormat="1" x14ac:dyDescent="0.3">
      <c r="A203" s="399"/>
      <c r="B203" s="558" t="s">
        <v>123</v>
      </c>
      <c r="C203" s="366"/>
      <c r="D203" s="367"/>
      <c r="E203" s="367"/>
      <c r="F203" s="367"/>
      <c r="G203" s="427"/>
      <c r="H203" s="427"/>
      <c r="I203" s="369"/>
      <c r="J203" s="403"/>
      <c r="K203" s="363"/>
      <c r="L203" s="370"/>
      <c r="M203" s="490"/>
      <c r="N203" s="489" t="str">
        <f t="shared" si="138"/>
        <v/>
      </c>
      <c r="O203" s="308"/>
      <c r="Q203" s="497"/>
      <c r="R203" s="481"/>
      <c r="S203" s="514"/>
      <c r="T203" s="515" t="str">
        <f t="shared" si="143"/>
        <v/>
      </c>
      <c r="U203" s="482" t="str">
        <f t="shared" si="144"/>
        <v/>
      </c>
      <c r="V203" s="514"/>
      <c r="W203" s="515" t="str">
        <f t="shared" si="145"/>
        <v/>
      </c>
      <c r="X203" s="507"/>
      <c r="Y203" s="507"/>
      <c r="Z203" s="478"/>
      <c r="AA203" s="471"/>
      <c r="AB203" s="471"/>
      <c r="AC203" s="471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6"/>
      <c r="KZ203" s="6"/>
      <c r="LA203" s="6"/>
      <c r="LB203" s="6"/>
      <c r="LC203" s="6"/>
      <c r="LD203" s="6"/>
      <c r="LE203" s="6"/>
      <c r="LF203" s="6"/>
      <c r="LG203" s="6"/>
      <c r="LH203" s="6"/>
      <c r="LI203" s="6"/>
      <c r="LJ203" s="6"/>
      <c r="LK203" s="6"/>
      <c r="LL203" s="6"/>
      <c r="LM203" s="6"/>
      <c r="LN203" s="6"/>
      <c r="LO203" s="6"/>
      <c r="LP203" s="6"/>
      <c r="LQ203" s="6"/>
      <c r="LR203" s="6"/>
      <c r="LS203" s="6"/>
      <c r="LT203" s="6"/>
      <c r="LU203" s="6"/>
      <c r="LV203" s="6"/>
      <c r="LW203" s="6"/>
      <c r="LX203" s="6"/>
      <c r="LY203" s="6"/>
      <c r="LZ203" s="6"/>
      <c r="MA203" s="6"/>
      <c r="MB203" s="6"/>
      <c r="MC203" s="6"/>
      <c r="MD203" s="6"/>
      <c r="ME203" s="6"/>
      <c r="MF203" s="6"/>
      <c r="MG203" s="6"/>
      <c r="MH203" s="6"/>
      <c r="MI203" s="6"/>
      <c r="MJ203" s="6"/>
      <c r="MK203" s="6"/>
      <c r="ML203" s="6"/>
      <c r="MM203" s="6"/>
      <c r="MN203" s="6"/>
      <c r="MO203" s="6"/>
      <c r="MP203" s="6"/>
      <c r="MQ203" s="6"/>
      <c r="MR203" s="6"/>
      <c r="MS203" s="6"/>
      <c r="MT203" s="6"/>
      <c r="MU203" s="6"/>
      <c r="MV203" s="6"/>
      <c r="MW203" s="6"/>
      <c r="MX203" s="6"/>
      <c r="MY203" s="6"/>
      <c r="MZ203" s="6"/>
      <c r="NA203" s="6"/>
      <c r="NB203" s="6"/>
      <c r="NC203" s="6"/>
      <c r="ND203" s="6"/>
      <c r="NE203" s="6"/>
      <c r="NF203" s="6"/>
      <c r="NG203" s="6"/>
      <c r="NH203" s="6"/>
      <c r="NI203" s="6"/>
      <c r="NJ203" s="6"/>
      <c r="NK203" s="6"/>
      <c r="NL203" s="6"/>
      <c r="NM203" s="6"/>
      <c r="NN203" s="6"/>
      <c r="NO203" s="6"/>
      <c r="NP203" s="6"/>
      <c r="NQ203" s="6"/>
      <c r="NR203" s="6"/>
      <c r="NS203" s="6"/>
      <c r="NT203" s="6"/>
      <c r="NU203" s="6"/>
      <c r="NV203" s="6"/>
      <c r="NW203" s="6"/>
      <c r="NX203" s="6"/>
      <c r="NY203" s="6"/>
      <c r="NZ203" s="6"/>
      <c r="OA203" s="6"/>
      <c r="OB203" s="6"/>
      <c r="OC203" s="6"/>
      <c r="OD203" s="6"/>
      <c r="OE203" s="6"/>
      <c r="OF203" s="6"/>
      <c r="OG203" s="6"/>
      <c r="OH203" s="6"/>
      <c r="OI203" s="6"/>
      <c r="OJ203" s="6"/>
      <c r="OK203" s="6"/>
      <c r="OL203" s="6"/>
      <c r="OM203" s="6"/>
      <c r="ON203" s="6"/>
      <c r="OO203" s="6"/>
      <c r="OP203" s="6"/>
      <c r="OQ203" s="6"/>
      <c r="OR203" s="6"/>
      <c r="OS203" s="6"/>
      <c r="OT203" s="6"/>
      <c r="OU203" s="6"/>
      <c r="OV203" s="6"/>
      <c r="OW203" s="6"/>
      <c r="OX203" s="6"/>
      <c r="OY203" s="6"/>
      <c r="OZ203" s="6"/>
      <c r="PA203" s="6"/>
      <c r="PB203" s="6"/>
      <c r="PC203" s="6"/>
      <c r="PD203" s="6"/>
      <c r="PE203" s="6"/>
      <c r="PF203" s="6"/>
      <c r="PG203" s="6"/>
      <c r="PH203" s="6"/>
      <c r="PI203" s="6"/>
      <c r="PJ203" s="6"/>
      <c r="PK203" s="6"/>
      <c r="PL203" s="6"/>
      <c r="PM203" s="6"/>
      <c r="PN203" s="6"/>
      <c r="PO203" s="6"/>
      <c r="PP203" s="6"/>
      <c r="PQ203" s="6"/>
      <c r="PR203" s="6"/>
      <c r="PS203" s="6"/>
      <c r="PT203" s="6"/>
      <c r="PU203" s="6"/>
      <c r="PV203" s="6"/>
      <c r="PW203" s="6"/>
      <c r="PX203" s="6"/>
      <c r="PY203" s="6"/>
      <c r="PZ203" s="6"/>
      <c r="QA203" s="6"/>
      <c r="QB203" s="6"/>
      <c r="QC203" s="6"/>
      <c r="QD203" s="6"/>
      <c r="QE203" s="6"/>
      <c r="QF203" s="6"/>
      <c r="QG203" s="6"/>
      <c r="QH203" s="6"/>
      <c r="QI203" s="6"/>
      <c r="QJ203" s="6"/>
      <c r="QK203" s="6"/>
      <c r="QL203" s="6"/>
      <c r="QM203" s="6"/>
      <c r="QN203" s="6"/>
      <c r="QO203" s="6"/>
      <c r="QP203" s="6"/>
      <c r="QQ203" s="6"/>
      <c r="QR203" s="6"/>
      <c r="QS203" s="6"/>
      <c r="QT203" s="6"/>
      <c r="QU203" s="6"/>
      <c r="QV203" s="6"/>
      <c r="QW203" s="6"/>
      <c r="QX203" s="6"/>
      <c r="QY203" s="6"/>
      <c r="QZ203" s="6"/>
      <c r="RA203" s="6"/>
      <c r="RB203" s="6"/>
      <c r="RC203" s="6"/>
      <c r="RD203" s="6"/>
      <c r="RE203" s="6"/>
      <c r="RF203" s="6"/>
      <c r="RG203" s="6"/>
      <c r="RH203" s="6"/>
      <c r="RI203" s="6"/>
      <c r="RJ203" s="6"/>
      <c r="RK203" s="6"/>
      <c r="RL203" s="6"/>
      <c r="RM203" s="6"/>
      <c r="RN203" s="6"/>
      <c r="RO203" s="6"/>
      <c r="RP203" s="6"/>
      <c r="RQ203" s="6"/>
      <c r="RR203" s="6"/>
      <c r="RS203" s="6"/>
      <c r="RT203" s="6"/>
      <c r="RU203" s="6"/>
      <c r="RV203" s="6"/>
      <c r="RW203" s="6"/>
      <c r="RX203" s="6"/>
      <c r="RY203" s="6"/>
      <c r="RZ203" s="6"/>
      <c r="SA203" s="6"/>
      <c r="SB203" s="6"/>
      <c r="SC203" s="6"/>
      <c r="SD203" s="6"/>
      <c r="SE203" s="6"/>
      <c r="SF203" s="6"/>
      <c r="SG203" s="6"/>
      <c r="SH203" s="6"/>
      <c r="SI203" s="6"/>
      <c r="SJ203" s="6"/>
      <c r="SK203" s="6"/>
      <c r="SL203" s="6"/>
      <c r="SM203" s="6"/>
      <c r="SN203" s="6"/>
      <c r="SO203" s="6"/>
      <c r="SP203" s="6"/>
      <c r="SQ203" s="6"/>
      <c r="SR203" s="6"/>
      <c r="SS203" s="6"/>
      <c r="ST203" s="6"/>
      <c r="SU203" s="6"/>
      <c r="SV203" s="6"/>
      <c r="SW203" s="6"/>
      <c r="SX203" s="6"/>
      <c r="SY203" s="6"/>
      <c r="SZ203" s="6"/>
      <c r="TA203" s="6"/>
      <c r="TB203" s="6"/>
      <c r="TC203" s="6"/>
      <c r="TD203" s="6"/>
      <c r="TE203" s="6"/>
      <c r="TF203" s="6"/>
      <c r="TG203" s="6"/>
      <c r="TH203" s="6"/>
      <c r="TI203" s="6"/>
      <c r="TJ203" s="6"/>
      <c r="TK203" s="6"/>
      <c r="TL203" s="6"/>
      <c r="TM203" s="6"/>
      <c r="TN203" s="6"/>
      <c r="TO203" s="6"/>
      <c r="TP203" s="6"/>
      <c r="TQ203" s="6"/>
      <c r="TR203" s="6"/>
      <c r="TS203" s="6"/>
      <c r="TT203" s="6"/>
      <c r="TU203" s="6"/>
      <c r="TV203" s="6"/>
      <c r="TW203" s="6"/>
      <c r="TX203" s="6"/>
      <c r="TY203" s="6"/>
      <c r="TZ203" s="6"/>
      <c r="UA203" s="6"/>
      <c r="UB203" s="6"/>
      <c r="UC203" s="6"/>
      <c r="UD203" s="6"/>
      <c r="UE203" s="6"/>
      <c r="UF203" s="6"/>
      <c r="UG203" s="6"/>
      <c r="UH203" s="6"/>
      <c r="UI203" s="6"/>
      <c r="UJ203" s="6"/>
      <c r="UK203" s="6"/>
      <c r="UL203" s="6"/>
      <c r="UM203" s="6"/>
      <c r="UN203" s="6"/>
      <c r="UO203" s="6"/>
      <c r="UP203" s="6"/>
      <c r="UQ203" s="6"/>
      <c r="UR203" s="6"/>
      <c r="US203" s="6"/>
      <c r="UT203" s="6"/>
      <c r="UU203" s="6"/>
      <c r="UV203" s="6"/>
      <c r="UW203" s="6"/>
      <c r="UX203" s="6"/>
      <c r="UY203" s="6"/>
      <c r="UZ203" s="6"/>
      <c r="VA203" s="6"/>
      <c r="VB203" s="6"/>
      <c r="VC203" s="6"/>
      <c r="VD203" s="6"/>
      <c r="VE203" s="6"/>
      <c r="VF203" s="6"/>
      <c r="VG203" s="6"/>
      <c r="VH203" s="6"/>
      <c r="VI203" s="6"/>
      <c r="VJ203" s="6"/>
      <c r="VK203" s="6"/>
      <c r="VL203" s="6"/>
      <c r="VM203" s="6"/>
      <c r="VN203" s="6"/>
      <c r="VO203" s="6"/>
      <c r="VP203" s="6"/>
      <c r="VQ203" s="6"/>
      <c r="VR203" s="6"/>
      <c r="VS203" s="6"/>
      <c r="VT203" s="6"/>
      <c r="VU203" s="6"/>
      <c r="VV203" s="6"/>
      <c r="VW203" s="6"/>
      <c r="VX203" s="6"/>
      <c r="VY203" s="6"/>
      <c r="VZ203" s="6"/>
      <c r="WA203" s="6"/>
      <c r="WB203" s="6"/>
      <c r="WC203" s="6"/>
      <c r="WD203" s="6"/>
      <c r="WE203" s="6"/>
      <c r="WF203" s="6"/>
      <c r="WG203" s="6"/>
      <c r="WH203" s="6"/>
      <c r="WI203" s="6"/>
      <c r="WJ203" s="6"/>
      <c r="WK203" s="6"/>
      <c r="WL203" s="6"/>
      <c r="WM203" s="6"/>
      <c r="WN203" s="6"/>
      <c r="WO203" s="6"/>
      <c r="WP203" s="6"/>
      <c r="WQ203" s="6"/>
      <c r="WR203" s="6"/>
      <c r="WS203" s="6"/>
      <c r="WT203" s="6"/>
      <c r="WU203" s="6"/>
      <c r="WV203" s="6"/>
      <c r="WW203" s="6"/>
      <c r="WX203" s="6"/>
      <c r="WY203" s="6"/>
      <c r="WZ203" s="6"/>
      <c r="XA203" s="6"/>
      <c r="XB203" s="6"/>
      <c r="XC203" s="6"/>
      <c r="XD203" s="6"/>
      <c r="XE203" s="6"/>
      <c r="XF203" s="6"/>
      <c r="XG203" s="6"/>
      <c r="XH203" s="6"/>
      <c r="XI203" s="6"/>
      <c r="XJ203" s="6"/>
      <c r="XK203" s="6"/>
      <c r="XL203" s="6"/>
      <c r="XM203" s="6"/>
      <c r="XN203" s="6"/>
      <c r="XO203" s="6"/>
      <c r="XP203" s="6"/>
      <c r="XQ203" s="6"/>
      <c r="XR203" s="6"/>
      <c r="XS203" s="6"/>
      <c r="XT203" s="6"/>
      <c r="XU203" s="6"/>
      <c r="XV203" s="6"/>
      <c r="XW203" s="6"/>
      <c r="XX203" s="6"/>
      <c r="XY203" s="6"/>
      <c r="XZ203" s="6"/>
      <c r="YA203" s="6"/>
      <c r="YB203" s="6"/>
      <c r="YC203" s="6"/>
      <c r="YD203" s="6"/>
      <c r="YE203" s="6"/>
      <c r="YF203" s="6"/>
      <c r="YG203" s="6"/>
      <c r="YH203" s="6"/>
      <c r="YI203" s="6"/>
      <c r="YJ203" s="6"/>
      <c r="YK203" s="6"/>
      <c r="YL203" s="6"/>
      <c r="YM203" s="6"/>
      <c r="YN203" s="6"/>
      <c r="YO203" s="6"/>
      <c r="YP203" s="6"/>
      <c r="YQ203" s="6"/>
      <c r="YR203" s="6"/>
      <c r="YS203" s="6"/>
      <c r="YT203" s="6"/>
      <c r="YU203" s="6"/>
      <c r="YV203" s="6"/>
      <c r="YW203" s="6"/>
      <c r="YX203" s="6"/>
      <c r="YY203" s="6"/>
      <c r="YZ203" s="6"/>
      <c r="ZA203" s="6"/>
      <c r="ZB203" s="6"/>
      <c r="ZC203" s="6"/>
      <c r="ZD203" s="6"/>
      <c r="ZE203" s="6"/>
      <c r="ZF203" s="6"/>
      <c r="ZG203" s="6"/>
      <c r="ZH203" s="6"/>
      <c r="ZI203" s="6"/>
      <c r="ZJ203" s="6"/>
      <c r="ZK203" s="6"/>
      <c r="ZL203" s="6"/>
      <c r="ZM203" s="6"/>
      <c r="ZN203" s="6"/>
      <c r="ZO203" s="6"/>
      <c r="ZP203" s="6"/>
      <c r="ZQ203" s="6"/>
      <c r="ZR203" s="6"/>
      <c r="ZS203" s="6"/>
      <c r="ZT203" s="6"/>
      <c r="ZU203" s="6"/>
      <c r="ZV203" s="6"/>
      <c r="ZW203" s="6"/>
      <c r="ZX203" s="6"/>
      <c r="ZY203" s="6"/>
      <c r="ZZ203" s="6"/>
      <c r="AAA203" s="6"/>
      <c r="AAB203" s="6"/>
      <c r="AAC203" s="6"/>
      <c r="AAD203" s="6"/>
      <c r="AAE203" s="6"/>
      <c r="AAF203" s="6"/>
      <c r="AAG203" s="6"/>
      <c r="AAH203" s="6"/>
      <c r="AAI203" s="6"/>
      <c r="AAJ203" s="6"/>
      <c r="AAK203" s="6"/>
      <c r="AAL203" s="6"/>
      <c r="AAM203" s="6"/>
      <c r="AAN203" s="6"/>
      <c r="AAO203" s="6"/>
      <c r="AAP203" s="6"/>
      <c r="AAQ203" s="6"/>
      <c r="AAR203" s="6"/>
      <c r="AAS203" s="6"/>
      <c r="AAT203" s="6"/>
      <c r="AAU203" s="6"/>
      <c r="AAV203" s="6"/>
      <c r="AAW203" s="6"/>
      <c r="AAX203" s="6"/>
      <c r="AAY203" s="6"/>
      <c r="AAZ203" s="6"/>
      <c r="ABA203" s="6"/>
      <c r="ABB203" s="6"/>
      <c r="ABC203" s="6"/>
      <c r="ABD203" s="6"/>
      <c r="ABE203" s="6"/>
      <c r="ABF203" s="6"/>
      <c r="ABG203" s="6"/>
      <c r="ABH203" s="6"/>
      <c r="ABI203" s="6"/>
      <c r="ABJ203" s="6"/>
      <c r="ABK203" s="6"/>
      <c r="ABL203" s="6"/>
      <c r="ABM203" s="6"/>
      <c r="ABN203" s="6"/>
      <c r="ABO203" s="6"/>
      <c r="ABP203" s="6"/>
      <c r="ABQ203" s="6"/>
      <c r="ABR203" s="6"/>
      <c r="ABS203" s="6"/>
      <c r="ABT203" s="6"/>
      <c r="ABU203" s="6"/>
      <c r="ABV203" s="6"/>
      <c r="ABW203" s="6"/>
      <c r="ABX203" s="6"/>
      <c r="ABY203" s="6"/>
      <c r="ABZ203" s="6"/>
      <c r="ACA203" s="6"/>
      <c r="ACB203" s="6"/>
      <c r="ACC203" s="6"/>
      <c r="ACD203" s="6"/>
      <c r="ACE203" s="6"/>
      <c r="ACF203" s="6"/>
      <c r="ACG203" s="6"/>
      <c r="ACH203" s="6"/>
      <c r="ACI203" s="6"/>
      <c r="ACJ203" s="6"/>
      <c r="ACK203" s="6"/>
      <c r="ACL203" s="6"/>
      <c r="ACM203" s="6"/>
      <c r="ACN203" s="6"/>
      <c r="ACO203" s="6"/>
      <c r="ACP203" s="6"/>
      <c r="ACQ203" s="6"/>
      <c r="ACR203" s="6"/>
      <c r="ACS203" s="6"/>
      <c r="ACT203" s="6"/>
      <c r="ACU203" s="6"/>
      <c r="ACV203" s="6"/>
      <c r="ACW203" s="6"/>
      <c r="ACX203" s="6"/>
      <c r="ACY203" s="6"/>
      <c r="ACZ203" s="6"/>
      <c r="ADA203" s="6"/>
      <c r="ADB203" s="6"/>
      <c r="ADC203" s="6"/>
      <c r="ADD203" s="6"/>
      <c r="ADE203" s="6"/>
      <c r="ADF203" s="6"/>
      <c r="ADG203" s="6"/>
      <c r="ADH203" s="6"/>
      <c r="ADI203" s="6"/>
      <c r="ADJ203" s="6"/>
    </row>
    <row r="204" spans="1:790" s="291" customFormat="1" x14ac:dyDescent="0.3">
      <c r="A204" s="399"/>
      <c r="B204" s="571" t="s">
        <v>108</v>
      </c>
      <c r="C204" s="366"/>
      <c r="D204" s="367"/>
      <c r="E204" s="367"/>
      <c r="F204" s="362">
        <v>23.2</v>
      </c>
      <c r="G204" s="362">
        <v>0.1</v>
      </c>
      <c r="H204" s="362">
        <f>+PRODUCT(C204:G204)</f>
        <v>2.3199999999999998</v>
      </c>
      <c r="I204" s="369" t="s">
        <v>22</v>
      </c>
      <c r="J204" s="362">
        <f>+PRODUCT(C204:G204)</f>
        <v>2.3199999999999998</v>
      </c>
      <c r="K204" s="363">
        <v>150</v>
      </c>
      <c r="L204" s="370">
        <f t="shared" ref="L204" si="203">J204*K204</f>
        <v>348</v>
      </c>
      <c r="M204" s="490">
        <f t="shared" ref="M204" si="204">K204*(100%-16.5%)</f>
        <v>125.25</v>
      </c>
      <c r="N204" s="489">
        <f t="shared" si="138"/>
        <v>290.58</v>
      </c>
      <c r="O204" s="308"/>
      <c r="Q204" s="497"/>
      <c r="R204" s="481">
        <f t="shared" si="148"/>
        <v>2.3199999999999998</v>
      </c>
      <c r="S204" s="514">
        <f>[2]CM!$M$297</f>
        <v>15</v>
      </c>
      <c r="T204" s="515">
        <f t="shared" ref="T204" si="205">IF(S204&gt;0,S204*R204,"")</f>
        <v>34.799999999999997</v>
      </c>
      <c r="U204" s="482">
        <f t="shared" ref="U204" si="206">IF(R204&gt;0,R204,"")</f>
        <v>2.3199999999999998</v>
      </c>
      <c r="V204" s="514">
        <f>V178</f>
        <v>100</v>
      </c>
      <c r="W204" s="515">
        <f t="shared" si="145"/>
        <v>231.99999999999997</v>
      </c>
      <c r="X204" s="507">
        <f t="shared" ref="X204" si="207">V204+S204</f>
        <v>115</v>
      </c>
      <c r="Y204" s="520">
        <f t="shared" ref="Y204" si="208">M204-X204</f>
        <v>10.25</v>
      </c>
      <c r="Z204" s="521">
        <f t="shared" ref="Z204" si="209">Y204/M204</f>
        <v>8.1836327345309379E-2</v>
      </c>
      <c r="AA204" s="471"/>
      <c r="AB204" s="471"/>
      <c r="AC204" s="471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6"/>
      <c r="KZ204" s="6"/>
      <c r="LA204" s="6"/>
      <c r="LB204" s="6"/>
      <c r="LC204" s="6"/>
      <c r="LD204" s="6"/>
      <c r="LE204" s="6"/>
      <c r="LF204" s="6"/>
      <c r="LG204" s="6"/>
      <c r="LH204" s="6"/>
      <c r="LI204" s="6"/>
      <c r="LJ204" s="6"/>
      <c r="LK204" s="6"/>
      <c r="LL204" s="6"/>
      <c r="LM204" s="6"/>
      <c r="LN204" s="6"/>
      <c r="LO204" s="6"/>
      <c r="LP204" s="6"/>
      <c r="LQ204" s="6"/>
      <c r="LR204" s="6"/>
      <c r="LS204" s="6"/>
      <c r="LT204" s="6"/>
      <c r="LU204" s="6"/>
      <c r="LV204" s="6"/>
      <c r="LW204" s="6"/>
      <c r="LX204" s="6"/>
      <c r="LY204" s="6"/>
      <c r="LZ204" s="6"/>
      <c r="MA204" s="6"/>
      <c r="MB204" s="6"/>
      <c r="MC204" s="6"/>
      <c r="MD204" s="6"/>
      <c r="ME204" s="6"/>
      <c r="MF204" s="6"/>
      <c r="MG204" s="6"/>
      <c r="MH204" s="6"/>
      <c r="MI204" s="6"/>
      <c r="MJ204" s="6"/>
      <c r="MK204" s="6"/>
      <c r="ML204" s="6"/>
      <c r="MM204" s="6"/>
      <c r="MN204" s="6"/>
      <c r="MO204" s="6"/>
      <c r="MP204" s="6"/>
      <c r="MQ204" s="6"/>
      <c r="MR204" s="6"/>
      <c r="MS204" s="6"/>
      <c r="MT204" s="6"/>
      <c r="MU204" s="6"/>
      <c r="MV204" s="6"/>
      <c r="MW204" s="6"/>
      <c r="MX204" s="6"/>
      <c r="MY204" s="6"/>
      <c r="MZ204" s="6"/>
      <c r="NA204" s="6"/>
      <c r="NB204" s="6"/>
      <c r="NC204" s="6"/>
      <c r="ND204" s="6"/>
      <c r="NE204" s="6"/>
      <c r="NF204" s="6"/>
      <c r="NG204" s="6"/>
      <c r="NH204" s="6"/>
      <c r="NI204" s="6"/>
      <c r="NJ204" s="6"/>
      <c r="NK204" s="6"/>
      <c r="NL204" s="6"/>
      <c r="NM204" s="6"/>
      <c r="NN204" s="6"/>
      <c r="NO204" s="6"/>
      <c r="NP204" s="6"/>
      <c r="NQ204" s="6"/>
      <c r="NR204" s="6"/>
      <c r="NS204" s="6"/>
      <c r="NT204" s="6"/>
      <c r="NU204" s="6"/>
      <c r="NV204" s="6"/>
      <c r="NW204" s="6"/>
      <c r="NX204" s="6"/>
      <c r="NY204" s="6"/>
      <c r="NZ204" s="6"/>
      <c r="OA204" s="6"/>
      <c r="OB204" s="6"/>
      <c r="OC204" s="6"/>
      <c r="OD204" s="6"/>
      <c r="OE204" s="6"/>
      <c r="OF204" s="6"/>
      <c r="OG204" s="6"/>
      <c r="OH204" s="6"/>
      <c r="OI204" s="6"/>
      <c r="OJ204" s="6"/>
      <c r="OK204" s="6"/>
      <c r="OL204" s="6"/>
      <c r="OM204" s="6"/>
      <c r="ON204" s="6"/>
      <c r="OO204" s="6"/>
      <c r="OP204" s="6"/>
      <c r="OQ204" s="6"/>
      <c r="OR204" s="6"/>
      <c r="OS204" s="6"/>
      <c r="OT204" s="6"/>
      <c r="OU204" s="6"/>
      <c r="OV204" s="6"/>
      <c r="OW204" s="6"/>
      <c r="OX204" s="6"/>
      <c r="OY204" s="6"/>
      <c r="OZ204" s="6"/>
      <c r="PA204" s="6"/>
      <c r="PB204" s="6"/>
      <c r="PC204" s="6"/>
      <c r="PD204" s="6"/>
      <c r="PE204" s="6"/>
      <c r="PF204" s="6"/>
      <c r="PG204" s="6"/>
      <c r="PH204" s="6"/>
      <c r="PI204" s="6"/>
      <c r="PJ204" s="6"/>
      <c r="PK204" s="6"/>
      <c r="PL204" s="6"/>
      <c r="PM204" s="6"/>
      <c r="PN204" s="6"/>
      <c r="PO204" s="6"/>
      <c r="PP204" s="6"/>
      <c r="PQ204" s="6"/>
      <c r="PR204" s="6"/>
      <c r="PS204" s="6"/>
      <c r="PT204" s="6"/>
      <c r="PU204" s="6"/>
      <c r="PV204" s="6"/>
      <c r="PW204" s="6"/>
      <c r="PX204" s="6"/>
      <c r="PY204" s="6"/>
      <c r="PZ204" s="6"/>
      <c r="QA204" s="6"/>
      <c r="QB204" s="6"/>
      <c r="QC204" s="6"/>
      <c r="QD204" s="6"/>
      <c r="QE204" s="6"/>
      <c r="QF204" s="6"/>
      <c r="QG204" s="6"/>
      <c r="QH204" s="6"/>
      <c r="QI204" s="6"/>
      <c r="QJ204" s="6"/>
      <c r="QK204" s="6"/>
      <c r="QL204" s="6"/>
      <c r="QM204" s="6"/>
      <c r="QN204" s="6"/>
      <c r="QO204" s="6"/>
      <c r="QP204" s="6"/>
      <c r="QQ204" s="6"/>
      <c r="QR204" s="6"/>
      <c r="QS204" s="6"/>
      <c r="QT204" s="6"/>
      <c r="QU204" s="6"/>
      <c r="QV204" s="6"/>
      <c r="QW204" s="6"/>
      <c r="QX204" s="6"/>
      <c r="QY204" s="6"/>
      <c r="QZ204" s="6"/>
      <c r="RA204" s="6"/>
      <c r="RB204" s="6"/>
      <c r="RC204" s="6"/>
      <c r="RD204" s="6"/>
      <c r="RE204" s="6"/>
      <c r="RF204" s="6"/>
      <c r="RG204" s="6"/>
      <c r="RH204" s="6"/>
      <c r="RI204" s="6"/>
      <c r="RJ204" s="6"/>
      <c r="RK204" s="6"/>
      <c r="RL204" s="6"/>
      <c r="RM204" s="6"/>
      <c r="RN204" s="6"/>
      <c r="RO204" s="6"/>
      <c r="RP204" s="6"/>
      <c r="RQ204" s="6"/>
      <c r="RR204" s="6"/>
      <c r="RS204" s="6"/>
      <c r="RT204" s="6"/>
      <c r="RU204" s="6"/>
      <c r="RV204" s="6"/>
      <c r="RW204" s="6"/>
      <c r="RX204" s="6"/>
      <c r="RY204" s="6"/>
      <c r="RZ204" s="6"/>
      <c r="SA204" s="6"/>
      <c r="SB204" s="6"/>
      <c r="SC204" s="6"/>
      <c r="SD204" s="6"/>
      <c r="SE204" s="6"/>
      <c r="SF204" s="6"/>
      <c r="SG204" s="6"/>
      <c r="SH204" s="6"/>
      <c r="SI204" s="6"/>
      <c r="SJ204" s="6"/>
      <c r="SK204" s="6"/>
      <c r="SL204" s="6"/>
      <c r="SM204" s="6"/>
      <c r="SN204" s="6"/>
      <c r="SO204" s="6"/>
      <c r="SP204" s="6"/>
      <c r="SQ204" s="6"/>
      <c r="SR204" s="6"/>
      <c r="SS204" s="6"/>
      <c r="ST204" s="6"/>
      <c r="SU204" s="6"/>
      <c r="SV204" s="6"/>
      <c r="SW204" s="6"/>
      <c r="SX204" s="6"/>
      <c r="SY204" s="6"/>
      <c r="SZ204" s="6"/>
      <c r="TA204" s="6"/>
      <c r="TB204" s="6"/>
      <c r="TC204" s="6"/>
      <c r="TD204" s="6"/>
      <c r="TE204" s="6"/>
      <c r="TF204" s="6"/>
      <c r="TG204" s="6"/>
      <c r="TH204" s="6"/>
      <c r="TI204" s="6"/>
      <c r="TJ204" s="6"/>
      <c r="TK204" s="6"/>
      <c r="TL204" s="6"/>
      <c r="TM204" s="6"/>
      <c r="TN204" s="6"/>
      <c r="TO204" s="6"/>
      <c r="TP204" s="6"/>
      <c r="TQ204" s="6"/>
      <c r="TR204" s="6"/>
      <c r="TS204" s="6"/>
      <c r="TT204" s="6"/>
      <c r="TU204" s="6"/>
      <c r="TV204" s="6"/>
      <c r="TW204" s="6"/>
      <c r="TX204" s="6"/>
      <c r="TY204" s="6"/>
      <c r="TZ204" s="6"/>
      <c r="UA204" s="6"/>
      <c r="UB204" s="6"/>
      <c r="UC204" s="6"/>
      <c r="UD204" s="6"/>
      <c r="UE204" s="6"/>
      <c r="UF204" s="6"/>
      <c r="UG204" s="6"/>
      <c r="UH204" s="6"/>
      <c r="UI204" s="6"/>
      <c r="UJ204" s="6"/>
      <c r="UK204" s="6"/>
      <c r="UL204" s="6"/>
      <c r="UM204" s="6"/>
      <c r="UN204" s="6"/>
      <c r="UO204" s="6"/>
      <c r="UP204" s="6"/>
      <c r="UQ204" s="6"/>
      <c r="UR204" s="6"/>
      <c r="US204" s="6"/>
      <c r="UT204" s="6"/>
      <c r="UU204" s="6"/>
      <c r="UV204" s="6"/>
      <c r="UW204" s="6"/>
      <c r="UX204" s="6"/>
      <c r="UY204" s="6"/>
      <c r="UZ204" s="6"/>
      <c r="VA204" s="6"/>
      <c r="VB204" s="6"/>
      <c r="VC204" s="6"/>
      <c r="VD204" s="6"/>
      <c r="VE204" s="6"/>
      <c r="VF204" s="6"/>
      <c r="VG204" s="6"/>
      <c r="VH204" s="6"/>
      <c r="VI204" s="6"/>
      <c r="VJ204" s="6"/>
      <c r="VK204" s="6"/>
      <c r="VL204" s="6"/>
      <c r="VM204" s="6"/>
      <c r="VN204" s="6"/>
      <c r="VO204" s="6"/>
      <c r="VP204" s="6"/>
      <c r="VQ204" s="6"/>
      <c r="VR204" s="6"/>
      <c r="VS204" s="6"/>
      <c r="VT204" s="6"/>
      <c r="VU204" s="6"/>
      <c r="VV204" s="6"/>
      <c r="VW204" s="6"/>
      <c r="VX204" s="6"/>
      <c r="VY204" s="6"/>
      <c r="VZ204" s="6"/>
      <c r="WA204" s="6"/>
      <c r="WB204" s="6"/>
      <c r="WC204" s="6"/>
      <c r="WD204" s="6"/>
      <c r="WE204" s="6"/>
      <c r="WF204" s="6"/>
      <c r="WG204" s="6"/>
      <c r="WH204" s="6"/>
      <c r="WI204" s="6"/>
      <c r="WJ204" s="6"/>
      <c r="WK204" s="6"/>
      <c r="WL204" s="6"/>
      <c r="WM204" s="6"/>
      <c r="WN204" s="6"/>
      <c r="WO204" s="6"/>
      <c r="WP204" s="6"/>
      <c r="WQ204" s="6"/>
      <c r="WR204" s="6"/>
      <c r="WS204" s="6"/>
      <c r="WT204" s="6"/>
      <c r="WU204" s="6"/>
      <c r="WV204" s="6"/>
      <c r="WW204" s="6"/>
      <c r="WX204" s="6"/>
      <c r="WY204" s="6"/>
      <c r="WZ204" s="6"/>
      <c r="XA204" s="6"/>
      <c r="XB204" s="6"/>
      <c r="XC204" s="6"/>
      <c r="XD204" s="6"/>
      <c r="XE204" s="6"/>
      <c r="XF204" s="6"/>
      <c r="XG204" s="6"/>
      <c r="XH204" s="6"/>
      <c r="XI204" s="6"/>
      <c r="XJ204" s="6"/>
      <c r="XK204" s="6"/>
      <c r="XL204" s="6"/>
      <c r="XM204" s="6"/>
      <c r="XN204" s="6"/>
      <c r="XO204" s="6"/>
      <c r="XP204" s="6"/>
      <c r="XQ204" s="6"/>
      <c r="XR204" s="6"/>
      <c r="XS204" s="6"/>
      <c r="XT204" s="6"/>
      <c r="XU204" s="6"/>
      <c r="XV204" s="6"/>
      <c r="XW204" s="6"/>
      <c r="XX204" s="6"/>
      <c r="XY204" s="6"/>
      <c r="XZ204" s="6"/>
      <c r="YA204" s="6"/>
      <c r="YB204" s="6"/>
      <c r="YC204" s="6"/>
      <c r="YD204" s="6"/>
      <c r="YE204" s="6"/>
      <c r="YF204" s="6"/>
      <c r="YG204" s="6"/>
      <c r="YH204" s="6"/>
      <c r="YI204" s="6"/>
      <c r="YJ204" s="6"/>
      <c r="YK204" s="6"/>
      <c r="YL204" s="6"/>
      <c r="YM204" s="6"/>
      <c r="YN204" s="6"/>
      <c r="YO204" s="6"/>
      <c r="YP204" s="6"/>
      <c r="YQ204" s="6"/>
      <c r="YR204" s="6"/>
      <c r="YS204" s="6"/>
      <c r="YT204" s="6"/>
      <c r="YU204" s="6"/>
      <c r="YV204" s="6"/>
      <c r="YW204" s="6"/>
      <c r="YX204" s="6"/>
      <c r="YY204" s="6"/>
      <c r="YZ204" s="6"/>
      <c r="ZA204" s="6"/>
      <c r="ZB204" s="6"/>
      <c r="ZC204" s="6"/>
      <c r="ZD204" s="6"/>
      <c r="ZE204" s="6"/>
      <c r="ZF204" s="6"/>
      <c r="ZG204" s="6"/>
      <c r="ZH204" s="6"/>
      <c r="ZI204" s="6"/>
      <c r="ZJ204" s="6"/>
      <c r="ZK204" s="6"/>
      <c r="ZL204" s="6"/>
      <c r="ZM204" s="6"/>
      <c r="ZN204" s="6"/>
      <c r="ZO204" s="6"/>
      <c r="ZP204" s="6"/>
      <c r="ZQ204" s="6"/>
      <c r="ZR204" s="6"/>
      <c r="ZS204" s="6"/>
      <c r="ZT204" s="6"/>
      <c r="ZU204" s="6"/>
      <c r="ZV204" s="6"/>
      <c r="ZW204" s="6"/>
      <c r="ZX204" s="6"/>
      <c r="ZY204" s="6"/>
      <c r="ZZ204" s="6"/>
      <c r="AAA204" s="6"/>
      <c r="AAB204" s="6"/>
      <c r="AAC204" s="6"/>
      <c r="AAD204" s="6"/>
      <c r="AAE204" s="6"/>
      <c r="AAF204" s="6"/>
      <c r="AAG204" s="6"/>
      <c r="AAH204" s="6"/>
      <c r="AAI204" s="6"/>
      <c r="AAJ204" s="6"/>
      <c r="AAK204" s="6"/>
      <c r="AAL204" s="6"/>
      <c r="AAM204" s="6"/>
      <c r="AAN204" s="6"/>
      <c r="AAO204" s="6"/>
      <c r="AAP204" s="6"/>
      <c r="AAQ204" s="6"/>
      <c r="AAR204" s="6"/>
      <c r="AAS204" s="6"/>
      <c r="AAT204" s="6"/>
      <c r="AAU204" s="6"/>
      <c r="AAV204" s="6"/>
      <c r="AAW204" s="6"/>
      <c r="AAX204" s="6"/>
      <c r="AAY204" s="6"/>
      <c r="AAZ204" s="6"/>
      <c r="ABA204" s="6"/>
      <c r="ABB204" s="6"/>
      <c r="ABC204" s="6"/>
      <c r="ABD204" s="6"/>
      <c r="ABE204" s="6"/>
      <c r="ABF204" s="6"/>
      <c r="ABG204" s="6"/>
      <c r="ABH204" s="6"/>
      <c r="ABI204" s="6"/>
      <c r="ABJ204" s="6"/>
      <c r="ABK204" s="6"/>
      <c r="ABL204" s="6"/>
      <c r="ABM204" s="6"/>
      <c r="ABN204" s="6"/>
      <c r="ABO204" s="6"/>
      <c r="ABP204" s="6"/>
      <c r="ABQ204" s="6"/>
      <c r="ABR204" s="6"/>
      <c r="ABS204" s="6"/>
      <c r="ABT204" s="6"/>
      <c r="ABU204" s="6"/>
      <c r="ABV204" s="6"/>
      <c r="ABW204" s="6"/>
      <c r="ABX204" s="6"/>
      <c r="ABY204" s="6"/>
      <c r="ABZ204" s="6"/>
      <c r="ACA204" s="6"/>
      <c r="ACB204" s="6"/>
      <c r="ACC204" s="6"/>
      <c r="ACD204" s="6"/>
      <c r="ACE204" s="6"/>
      <c r="ACF204" s="6"/>
      <c r="ACG204" s="6"/>
      <c r="ACH204" s="6"/>
      <c r="ACI204" s="6"/>
      <c r="ACJ204" s="6"/>
      <c r="ACK204" s="6"/>
      <c r="ACL204" s="6"/>
      <c r="ACM204" s="6"/>
      <c r="ACN204" s="6"/>
      <c r="ACO204" s="6"/>
      <c r="ACP204" s="6"/>
      <c r="ACQ204" s="6"/>
      <c r="ACR204" s="6"/>
      <c r="ACS204" s="6"/>
      <c r="ACT204" s="6"/>
      <c r="ACU204" s="6"/>
      <c r="ACV204" s="6"/>
      <c r="ACW204" s="6"/>
      <c r="ACX204" s="6"/>
      <c r="ACY204" s="6"/>
      <c r="ACZ204" s="6"/>
      <c r="ADA204" s="6"/>
      <c r="ADB204" s="6"/>
      <c r="ADC204" s="6"/>
      <c r="ADD204" s="6"/>
      <c r="ADE204" s="6"/>
      <c r="ADF204" s="6"/>
      <c r="ADG204" s="6"/>
      <c r="ADH204" s="6"/>
      <c r="ADI204" s="6"/>
      <c r="ADJ204" s="6"/>
    </row>
    <row r="205" spans="1:790" s="291" customFormat="1" x14ac:dyDescent="0.3">
      <c r="A205" s="399"/>
      <c r="B205" s="558"/>
      <c r="C205" s="366"/>
      <c r="D205" s="367"/>
      <c r="E205" s="367"/>
      <c r="F205" s="367"/>
      <c r="G205" s="427"/>
      <c r="H205" s="427"/>
      <c r="I205" s="369"/>
      <c r="J205" s="403"/>
      <c r="K205" s="363"/>
      <c r="L205" s="370"/>
      <c r="M205" s="490"/>
      <c r="N205" s="489" t="str">
        <f t="shared" si="138"/>
        <v/>
      </c>
      <c r="O205" s="308"/>
      <c r="Q205" s="497"/>
      <c r="R205" s="481"/>
      <c r="S205" s="514"/>
      <c r="T205" s="515" t="str">
        <f t="shared" si="143"/>
        <v/>
      </c>
      <c r="U205" s="482" t="str">
        <f t="shared" si="144"/>
        <v/>
      </c>
      <c r="V205" s="514"/>
      <c r="W205" s="515" t="str">
        <f t="shared" si="145"/>
        <v/>
      </c>
      <c r="X205" s="507"/>
      <c r="Y205" s="507"/>
      <c r="Z205" s="478"/>
      <c r="AA205" s="471"/>
      <c r="AB205" s="471"/>
      <c r="AC205" s="471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J205" s="6"/>
      <c r="IK205" s="6"/>
      <c r="IL205" s="6"/>
      <c r="IM205" s="6"/>
      <c r="IN205" s="6"/>
      <c r="IO205" s="6"/>
      <c r="IP205" s="6"/>
      <c r="IQ205" s="6"/>
      <c r="IR205" s="6"/>
      <c r="IS205" s="6"/>
      <c r="IT205" s="6"/>
      <c r="IU205" s="6"/>
      <c r="IV205" s="6"/>
      <c r="IW205" s="6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6"/>
      <c r="KZ205" s="6"/>
      <c r="LA205" s="6"/>
      <c r="LB205" s="6"/>
      <c r="LC205" s="6"/>
      <c r="LD205" s="6"/>
      <c r="LE205" s="6"/>
      <c r="LF205" s="6"/>
      <c r="LG205" s="6"/>
      <c r="LH205" s="6"/>
      <c r="LI205" s="6"/>
      <c r="LJ205" s="6"/>
      <c r="LK205" s="6"/>
      <c r="LL205" s="6"/>
      <c r="LM205" s="6"/>
      <c r="LN205" s="6"/>
      <c r="LO205" s="6"/>
      <c r="LP205" s="6"/>
      <c r="LQ205" s="6"/>
      <c r="LR205" s="6"/>
      <c r="LS205" s="6"/>
      <c r="LT205" s="6"/>
      <c r="LU205" s="6"/>
      <c r="LV205" s="6"/>
      <c r="LW205" s="6"/>
      <c r="LX205" s="6"/>
      <c r="LY205" s="6"/>
      <c r="LZ205" s="6"/>
      <c r="MA205" s="6"/>
      <c r="MB205" s="6"/>
      <c r="MC205" s="6"/>
      <c r="MD205" s="6"/>
      <c r="ME205" s="6"/>
      <c r="MF205" s="6"/>
      <c r="MG205" s="6"/>
      <c r="MH205" s="6"/>
      <c r="MI205" s="6"/>
      <c r="MJ205" s="6"/>
      <c r="MK205" s="6"/>
      <c r="ML205" s="6"/>
      <c r="MM205" s="6"/>
      <c r="MN205" s="6"/>
      <c r="MO205" s="6"/>
      <c r="MP205" s="6"/>
      <c r="MQ205" s="6"/>
      <c r="MR205" s="6"/>
      <c r="MS205" s="6"/>
      <c r="MT205" s="6"/>
      <c r="MU205" s="6"/>
      <c r="MV205" s="6"/>
      <c r="MW205" s="6"/>
      <c r="MX205" s="6"/>
      <c r="MY205" s="6"/>
      <c r="MZ205" s="6"/>
      <c r="NA205" s="6"/>
      <c r="NB205" s="6"/>
      <c r="NC205" s="6"/>
      <c r="ND205" s="6"/>
      <c r="NE205" s="6"/>
      <c r="NF205" s="6"/>
      <c r="NG205" s="6"/>
      <c r="NH205" s="6"/>
      <c r="NI205" s="6"/>
      <c r="NJ205" s="6"/>
      <c r="NK205" s="6"/>
      <c r="NL205" s="6"/>
      <c r="NM205" s="6"/>
      <c r="NN205" s="6"/>
      <c r="NO205" s="6"/>
      <c r="NP205" s="6"/>
      <c r="NQ205" s="6"/>
      <c r="NR205" s="6"/>
      <c r="NS205" s="6"/>
      <c r="NT205" s="6"/>
      <c r="NU205" s="6"/>
      <c r="NV205" s="6"/>
      <c r="NW205" s="6"/>
      <c r="NX205" s="6"/>
      <c r="NY205" s="6"/>
      <c r="NZ205" s="6"/>
      <c r="OA205" s="6"/>
      <c r="OB205" s="6"/>
      <c r="OC205" s="6"/>
      <c r="OD205" s="6"/>
      <c r="OE205" s="6"/>
      <c r="OF205" s="6"/>
      <c r="OG205" s="6"/>
      <c r="OH205" s="6"/>
      <c r="OI205" s="6"/>
      <c r="OJ205" s="6"/>
      <c r="OK205" s="6"/>
      <c r="OL205" s="6"/>
      <c r="OM205" s="6"/>
      <c r="ON205" s="6"/>
      <c r="OO205" s="6"/>
      <c r="OP205" s="6"/>
      <c r="OQ205" s="6"/>
      <c r="OR205" s="6"/>
      <c r="OS205" s="6"/>
      <c r="OT205" s="6"/>
      <c r="OU205" s="6"/>
      <c r="OV205" s="6"/>
      <c r="OW205" s="6"/>
      <c r="OX205" s="6"/>
      <c r="OY205" s="6"/>
      <c r="OZ205" s="6"/>
      <c r="PA205" s="6"/>
      <c r="PB205" s="6"/>
      <c r="PC205" s="6"/>
      <c r="PD205" s="6"/>
      <c r="PE205" s="6"/>
      <c r="PF205" s="6"/>
      <c r="PG205" s="6"/>
      <c r="PH205" s="6"/>
      <c r="PI205" s="6"/>
      <c r="PJ205" s="6"/>
      <c r="PK205" s="6"/>
      <c r="PL205" s="6"/>
      <c r="PM205" s="6"/>
      <c r="PN205" s="6"/>
      <c r="PO205" s="6"/>
      <c r="PP205" s="6"/>
      <c r="PQ205" s="6"/>
      <c r="PR205" s="6"/>
      <c r="PS205" s="6"/>
      <c r="PT205" s="6"/>
      <c r="PU205" s="6"/>
      <c r="PV205" s="6"/>
      <c r="PW205" s="6"/>
      <c r="PX205" s="6"/>
      <c r="PY205" s="6"/>
      <c r="PZ205" s="6"/>
      <c r="QA205" s="6"/>
      <c r="QB205" s="6"/>
      <c r="QC205" s="6"/>
      <c r="QD205" s="6"/>
      <c r="QE205" s="6"/>
      <c r="QF205" s="6"/>
      <c r="QG205" s="6"/>
      <c r="QH205" s="6"/>
      <c r="QI205" s="6"/>
      <c r="QJ205" s="6"/>
      <c r="QK205" s="6"/>
      <c r="QL205" s="6"/>
      <c r="QM205" s="6"/>
      <c r="QN205" s="6"/>
      <c r="QO205" s="6"/>
      <c r="QP205" s="6"/>
      <c r="QQ205" s="6"/>
      <c r="QR205" s="6"/>
      <c r="QS205" s="6"/>
      <c r="QT205" s="6"/>
      <c r="QU205" s="6"/>
      <c r="QV205" s="6"/>
      <c r="QW205" s="6"/>
      <c r="QX205" s="6"/>
      <c r="QY205" s="6"/>
      <c r="QZ205" s="6"/>
      <c r="RA205" s="6"/>
      <c r="RB205" s="6"/>
      <c r="RC205" s="6"/>
      <c r="RD205" s="6"/>
      <c r="RE205" s="6"/>
      <c r="RF205" s="6"/>
      <c r="RG205" s="6"/>
      <c r="RH205" s="6"/>
      <c r="RI205" s="6"/>
      <c r="RJ205" s="6"/>
      <c r="RK205" s="6"/>
      <c r="RL205" s="6"/>
      <c r="RM205" s="6"/>
      <c r="RN205" s="6"/>
      <c r="RO205" s="6"/>
      <c r="RP205" s="6"/>
      <c r="RQ205" s="6"/>
      <c r="RR205" s="6"/>
      <c r="RS205" s="6"/>
      <c r="RT205" s="6"/>
      <c r="RU205" s="6"/>
      <c r="RV205" s="6"/>
      <c r="RW205" s="6"/>
      <c r="RX205" s="6"/>
      <c r="RY205" s="6"/>
      <c r="RZ205" s="6"/>
      <c r="SA205" s="6"/>
      <c r="SB205" s="6"/>
      <c r="SC205" s="6"/>
      <c r="SD205" s="6"/>
      <c r="SE205" s="6"/>
      <c r="SF205" s="6"/>
      <c r="SG205" s="6"/>
      <c r="SH205" s="6"/>
      <c r="SI205" s="6"/>
      <c r="SJ205" s="6"/>
      <c r="SK205" s="6"/>
      <c r="SL205" s="6"/>
      <c r="SM205" s="6"/>
      <c r="SN205" s="6"/>
      <c r="SO205" s="6"/>
      <c r="SP205" s="6"/>
      <c r="SQ205" s="6"/>
      <c r="SR205" s="6"/>
      <c r="SS205" s="6"/>
      <c r="ST205" s="6"/>
      <c r="SU205" s="6"/>
      <c r="SV205" s="6"/>
      <c r="SW205" s="6"/>
      <c r="SX205" s="6"/>
      <c r="SY205" s="6"/>
      <c r="SZ205" s="6"/>
      <c r="TA205" s="6"/>
      <c r="TB205" s="6"/>
      <c r="TC205" s="6"/>
      <c r="TD205" s="6"/>
      <c r="TE205" s="6"/>
      <c r="TF205" s="6"/>
      <c r="TG205" s="6"/>
      <c r="TH205" s="6"/>
      <c r="TI205" s="6"/>
      <c r="TJ205" s="6"/>
      <c r="TK205" s="6"/>
      <c r="TL205" s="6"/>
      <c r="TM205" s="6"/>
      <c r="TN205" s="6"/>
      <c r="TO205" s="6"/>
      <c r="TP205" s="6"/>
      <c r="TQ205" s="6"/>
      <c r="TR205" s="6"/>
      <c r="TS205" s="6"/>
      <c r="TT205" s="6"/>
      <c r="TU205" s="6"/>
      <c r="TV205" s="6"/>
      <c r="TW205" s="6"/>
      <c r="TX205" s="6"/>
      <c r="TY205" s="6"/>
      <c r="TZ205" s="6"/>
      <c r="UA205" s="6"/>
      <c r="UB205" s="6"/>
      <c r="UC205" s="6"/>
      <c r="UD205" s="6"/>
      <c r="UE205" s="6"/>
      <c r="UF205" s="6"/>
      <c r="UG205" s="6"/>
      <c r="UH205" s="6"/>
      <c r="UI205" s="6"/>
      <c r="UJ205" s="6"/>
      <c r="UK205" s="6"/>
      <c r="UL205" s="6"/>
      <c r="UM205" s="6"/>
      <c r="UN205" s="6"/>
      <c r="UO205" s="6"/>
      <c r="UP205" s="6"/>
      <c r="UQ205" s="6"/>
      <c r="UR205" s="6"/>
      <c r="US205" s="6"/>
      <c r="UT205" s="6"/>
      <c r="UU205" s="6"/>
      <c r="UV205" s="6"/>
      <c r="UW205" s="6"/>
      <c r="UX205" s="6"/>
      <c r="UY205" s="6"/>
      <c r="UZ205" s="6"/>
      <c r="VA205" s="6"/>
      <c r="VB205" s="6"/>
      <c r="VC205" s="6"/>
      <c r="VD205" s="6"/>
      <c r="VE205" s="6"/>
      <c r="VF205" s="6"/>
      <c r="VG205" s="6"/>
      <c r="VH205" s="6"/>
      <c r="VI205" s="6"/>
      <c r="VJ205" s="6"/>
      <c r="VK205" s="6"/>
      <c r="VL205" s="6"/>
      <c r="VM205" s="6"/>
      <c r="VN205" s="6"/>
      <c r="VO205" s="6"/>
      <c r="VP205" s="6"/>
      <c r="VQ205" s="6"/>
      <c r="VR205" s="6"/>
      <c r="VS205" s="6"/>
      <c r="VT205" s="6"/>
      <c r="VU205" s="6"/>
      <c r="VV205" s="6"/>
      <c r="VW205" s="6"/>
      <c r="VX205" s="6"/>
      <c r="VY205" s="6"/>
      <c r="VZ205" s="6"/>
      <c r="WA205" s="6"/>
      <c r="WB205" s="6"/>
      <c r="WC205" s="6"/>
      <c r="WD205" s="6"/>
      <c r="WE205" s="6"/>
      <c r="WF205" s="6"/>
      <c r="WG205" s="6"/>
      <c r="WH205" s="6"/>
      <c r="WI205" s="6"/>
      <c r="WJ205" s="6"/>
      <c r="WK205" s="6"/>
      <c r="WL205" s="6"/>
      <c r="WM205" s="6"/>
      <c r="WN205" s="6"/>
      <c r="WO205" s="6"/>
      <c r="WP205" s="6"/>
      <c r="WQ205" s="6"/>
      <c r="WR205" s="6"/>
      <c r="WS205" s="6"/>
      <c r="WT205" s="6"/>
      <c r="WU205" s="6"/>
      <c r="WV205" s="6"/>
      <c r="WW205" s="6"/>
      <c r="WX205" s="6"/>
      <c r="WY205" s="6"/>
      <c r="WZ205" s="6"/>
      <c r="XA205" s="6"/>
      <c r="XB205" s="6"/>
      <c r="XC205" s="6"/>
      <c r="XD205" s="6"/>
      <c r="XE205" s="6"/>
      <c r="XF205" s="6"/>
      <c r="XG205" s="6"/>
      <c r="XH205" s="6"/>
      <c r="XI205" s="6"/>
      <c r="XJ205" s="6"/>
      <c r="XK205" s="6"/>
      <c r="XL205" s="6"/>
      <c r="XM205" s="6"/>
      <c r="XN205" s="6"/>
      <c r="XO205" s="6"/>
      <c r="XP205" s="6"/>
      <c r="XQ205" s="6"/>
      <c r="XR205" s="6"/>
      <c r="XS205" s="6"/>
      <c r="XT205" s="6"/>
      <c r="XU205" s="6"/>
      <c r="XV205" s="6"/>
      <c r="XW205" s="6"/>
      <c r="XX205" s="6"/>
      <c r="XY205" s="6"/>
      <c r="XZ205" s="6"/>
      <c r="YA205" s="6"/>
      <c r="YB205" s="6"/>
      <c r="YC205" s="6"/>
      <c r="YD205" s="6"/>
      <c r="YE205" s="6"/>
      <c r="YF205" s="6"/>
      <c r="YG205" s="6"/>
      <c r="YH205" s="6"/>
      <c r="YI205" s="6"/>
      <c r="YJ205" s="6"/>
      <c r="YK205" s="6"/>
      <c r="YL205" s="6"/>
      <c r="YM205" s="6"/>
      <c r="YN205" s="6"/>
      <c r="YO205" s="6"/>
      <c r="YP205" s="6"/>
      <c r="YQ205" s="6"/>
      <c r="YR205" s="6"/>
      <c r="YS205" s="6"/>
      <c r="YT205" s="6"/>
      <c r="YU205" s="6"/>
      <c r="YV205" s="6"/>
      <c r="YW205" s="6"/>
      <c r="YX205" s="6"/>
      <c r="YY205" s="6"/>
      <c r="YZ205" s="6"/>
      <c r="ZA205" s="6"/>
      <c r="ZB205" s="6"/>
      <c r="ZC205" s="6"/>
      <c r="ZD205" s="6"/>
      <c r="ZE205" s="6"/>
      <c r="ZF205" s="6"/>
      <c r="ZG205" s="6"/>
      <c r="ZH205" s="6"/>
      <c r="ZI205" s="6"/>
      <c r="ZJ205" s="6"/>
      <c r="ZK205" s="6"/>
      <c r="ZL205" s="6"/>
      <c r="ZM205" s="6"/>
      <c r="ZN205" s="6"/>
      <c r="ZO205" s="6"/>
      <c r="ZP205" s="6"/>
      <c r="ZQ205" s="6"/>
      <c r="ZR205" s="6"/>
      <c r="ZS205" s="6"/>
      <c r="ZT205" s="6"/>
      <c r="ZU205" s="6"/>
      <c r="ZV205" s="6"/>
      <c r="ZW205" s="6"/>
      <c r="ZX205" s="6"/>
      <c r="ZY205" s="6"/>
      <c r="ZZ205" s="6"/>
      <c r="AAA205" s="6"/>
      <c r="AAB205" s="6"/>
      <c r="AAC205" s="6"/>
      <c r="AAD205" s="6"/>
      <c r="AAE205" s="6"/>
      <c r="AAF205" s="6"/>
      <c r="AAG205" s="6"/>
      <c r="AAH205" s="6"/>
      <c r="AAI205" s="6"/>
      <c r="AAJ205" s="6"/>
      <c r="AAK205" s="6"/>
      <c r="AAL205" s="6"/>
      <c r="AAM205" s="6"/>
      <c r="AAN205" s="6"/>
      <c r="AAO205" s="6"/>
      <c r="AAP205" s="6"/>
      <c r="AAQ205" s="6"/>
      <c r="AAR205" s="6"/>
      <c r="AAS205" s="6"/>
      <c r="AAT205" s="6"/>
      <c r="AAU205" s="6"/>
      <c r="AAV205" s="6"/>
      <c r="AAW205" s="6"/>
      <c r="AAX205" s="6"/>
      <c r="AAY205" s="6"/>
      <c r="AAZ205" s="6"/>
      <c r="ABA205" s="6"/>
      <c r="ABB205" s="6"/>
      <c r="ABC205" s="6"/>
      <c r="ABD205" s="6"/>
      <c r="ABE205" s="6"/>
      <c r="ABF205" s="6"/>
      <c r="ABG205" s="6"/>
      <c r="ABH205" s="6"/>
      <c r="ABI205" s="6"/>
      <c r="ABJ205" s="6"/>
      <c r="ABK205" s="6"/>
      <c r="ABL205" s="6"/>
      <c r="ABM205" s="6"/>
      <c r="ABN205" s="6"/>
      <c r="ABO205" s="6"/>
      <c r="ABP205" s="6"/>
      <c r="ABQ205" s="6"/>
      <c r="ABR205" s="6"/>
      <c r="ABS205" s="6"/>
      <c r="ABT205" s="6"/>
      <c r="ABU205" s="6"/>
      <c r="ABV205" s="6"/>
      <c r="ABW205" s="6"/>
      <c r="ABX205" s="6"/>
      <c r="ABY205" s="6"/>
      <c r="ABZ205" s="6"/>
      <c r="ACA205" s="6"/>
      <c r="ACB205" s="6"/>
      <c r="ACC205" s="6"/>
      <c r="ACD205" s="6"/>
      <c r="ACE205" s="6"/>
      <c r="ACF205" s="6"/>
      <c r="ACG205" s="6"/>
      <c r="ACH205" s="6"/>
      <c r="ACI205" s="6"/>
      <c r="ACJ205" s="6"/>
      <c r="ACK205" s="6"/>
      <c r="ACL205" s="6"/>
      <c r="ACM205" s="6"/>
      <c r="ACN205" s="6"/>
      <c r="ACO205" s="6"/>
      <c r="ACP205" s="6"/>
      <c r="ACQ205" s="6"/>
      <c r="ACR205" s="6"/>
      <c r="ACS205" s="6"/>
      <c r="ACT205" s="6"/>
      <c r="ACU205" s="6"/>
      <c r="ACV205" s="6"/>
      <c r="ACW205" s="6"/>
      <c r="ACX205" s="6"/>
      <c r="ACY205" s="6"/>
      <c r="ACZ205" s="6"/>
      <c r="ADA205" s="6"/>
      <c r="ADB205" s="6"/>
      <c r="ADC205" s="6"/>
      <c r="ADD205" s="6"/>
      <c r="ADE205" s="6"/>
      <c r="ADF205" s="6"/>
      <c r="ADG205" s="6"/>
      <c r="ADH205" s="6"/>
      <c r="ADI205" s="6"/>
      <c r="ADJ205" s="6"/>
    </row>
    <row r="206" spans="1:790" s="291" customFormat="1" x14ac:dyDescent="0.3">
      <c r="A206" s="399"/>
      <c r="B206" s="558" t="s">
        <v>124</v>
      </c>
      <c r="C206" s="366"/>
      <c r="D206" s="367"/>
      <c r="E206" s="367"/>
      <c r="F206" s="367"/>
      <c r="G206" s="427"/>
      <c r="H206" s="427"/>
      <c r="I206" s="369"/>
      <c r="J206" s="403"/>
      <c r="K206" s="363"/>
      <c r="L206" s="370"/>
      <c r="M206" s="490"/>
      <c r="N206" s="489" t="str">
        <f t="shared" si="138"/>
        <v/>
      </c>
      <c r="O206" s="308"/>
      <c r="Q206" s="497"/>
      <c r="R206" s="481"/>
      <c r="S206" s="514"/>
      <c r="T206" s="515" t="str">
        <f t="shared" si="143"/>
        <v/>
      </c>
      <c r="U206" s="482" t="str">
        <f t="shared" si="144"/>
        <v/>
      </c>
      <c r="V206" s="514"/>
      <c r="W206" s="515" t="str">
        <f t="shared" si="145"/>
        <v/>
      </c>
      <c r="X206" s="507"/>
      <c r="Y206" s="507"/>
      <c r="Z206" s="478"/>
      <c r="AA206" s="471"/>
      <c r="AB206" s="471"/>
      <c r="AC206" s="471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J206" s="6"/>
      <c r="IK206" s="6"/>
      <c r="IL206" s="6"/>
      <c r="IM206" s="6"/>
      <c r="IN206" s="6"/>
      <c r="IO206" s="6"/>
      <c r="IP206" s="6"/>
      <c r="IQ206" s="6"/>
      <c r="IR206" s="6"/>
      <c r="IS206" s="6"/>
      <c r="IT206" s="6"/>
      <c r="IU206" s="6"/>
      <c r="IV206" s="6"/>
      <c r="IW206" s="6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6"/>
      <c r="KZ206" s="6"/>
      <c r="LA206" s="6"/>
      <c r="LB206" s="6"/>
      <c r="LC206" s="6"/>
      <c r="LD206" s="6"/>
      <c r="LE206" s="6"/>
      <c r="LF206" s="6"/>
      <c r="LG206" s="6"/>
      <c r="LH206" s="6"/>
      <c r="LI206" s="6"/>
      <c r="LJ206" s="6"/>
      <c r="LK206" s="6"/>
      <c r="LL206" s="6"/>
      <c r="LM206" s="6"/>
      <c r="LN206" s="6"/>
      <c r="LO206" s="6"/>
      <c r="LP206" s="6"/>
      <c r="LQ206" s="6"/>
      <c r="LR206" s="6"/>
      <c r="LS206" s="6"/>
      <c r="LT206" s="6"/>
      <c r="LU206" s="6"/>
      <c r="LV206" s="6"/>
      <c r="LW206" s="6"/>
      <c r="LX206" s="6"/>
      <c r="LY206" s="6"/>
      <c r="LZ206" s="6"/>
      <c r="MA206" s="6"/>
      <c r="MB206" s="6"/>
      <c r="MC206" s="6"/>
      <c r="MD206" s="6"/>
      <c r="ME206" s="6"/>
      <c r="MF206" s="6"/>
      <c r="MG206" s="6"/>
      <c r="MH206" s="6"/>
      <c r="MI206" s="6"/>
      <c r="MJ206" s="6"/>
      <c r="MK206" s="6"/>
      <c r="ML206" s="6"/>
      <c r="MM206" s="6"/>
      <c r="MN206" s="6"/>
      <c r="MO206" s="6"/>
      <c r="MP206" s="6"/>
      <c r="MQ206" s="6"/>
      <c r="MR206" s="6"/>
      <c r="MS206" s="6"/>
      <c r="MT206" s="6"/>
      <c r="MU206" s="6"/>
      <c r="MV206" s="6"/>
      <c r="MW206" s="6"/>
      <c r="MX206" s="6"/>
      <c r="MY206" s="6"/>
      <c r="MZ206" s="6"/>
      <c r="NA206" s="6"/>
      <c r="NB206" s="6"/>
      <c r="NC206" s="6"/>
      <c r="ND206" s="6"/>
      <c r="NE206" s="6"/>
      <c r="NF206" s="6"/>
      <c r="NG206" s="6"/>
      <c r="NH206" s="6"/>
      <c r="NI206" s="6"/>
      <c r="NJ206" s="6"/>
      <c r="NK206" s="6"/>
      <c r="NL206" s="6"/>
      <c r="NM206" s="6"/>
      <c r="NN206" s="6"/>
      <c r="NO206" s="6"/>
      <c r="NP206" s="6"/>
      <c r="NQ206" s="6"/>
      <c r="NR206" s="6"/>
      <c r="NS206" s="6"/>
      <c r="NT206" s="6"/>
      <c r="NU206" s="6"/>
      <c r="NV206" s="6"/>
      <c r="NW206" s="6"/>
      <c r="NX206" s="6"/>
      <c r="NY206" s="6"/>
      <c r="NZ206" s="6"/>
      <c r="OA206" s="6"/>
      <c r="OB206" s="6"/>
      <c r="OC206" s="6"/>
      <c r="OD206" s="6"/>
      <c r="OE206" s="6"/>
      <c r="OF206" s="6"/>
      <c r="OG206" s="6"/>
      <c r="OH206" s="6"/>
      <c r="OI206" s="6"/>
      <c r="OJ206" s="6"/>
      <c r="OK206" s="6"/>
      <c r="OL206" s="6"/>
      <c r="OM206" s="6"/>
      <c r="ON206" s="6"/>
      <c r="OO206" s="6"/>
      <c r="OP206" s="6"/>
      <c r="OQ206" s="6"/>
      <c r="OR206" s="6"/>
      <c r="OS206" s="6"/>
      <c r="OT206" s="6"/>
      <c r="OU206" s="6"/>
      <c r="OV206" s="6"/>
      <c r="OW206" s="6"/>
      <c r="OX206" s="6"/>
      <c r="OY206" s="6"/>
      <c r="OZ206" s="6"/>
      <c r="PA206" s="6"/>
      <c r="PB206" s="6"/>
      <c r="PC206" s="6"/>
      <c r="PD206" s="6"/>
      <c r="PE206" s="6"/>
      <c r="PF206" s="6"/>
      <c r="PG206" s="6"/>
      <c r="PH206" s="6"/>
      <c r="PI206" s="6"/>
      <c r="PJ206" s="6"/>
      <c r="PK206" s="6"/>
      <c r="PL206" s="6"/>
      <c r="PM206" s="6"/>
      <c r="PN206" s="6"/>
      <c r="PO206" s="6"/>
      <c r="PP206" s="6"/>
      <c r="PQ206" s="6"/>
      <c r="PR206" s="6"/>
      <c r="PS206" s="6"/>
      <c r="PT206" s="6"/>
      <c r="PU206" s="6"/>
      <c r="PV206" s="6"/>
      <c r="PW206" s="6"/>
      <c r="PX206" s="6"/>
      <c r="PY206" s="6"/>
      <c r="PZ206" s="6"/>
      <c r="QA206" s="6"/>
      <c r="QB206" s="6"/>
      <c r="QC206" s="6"/>
      <c r="QD206" s="6"/>
      <c r="QE206" s="6"/>
      <c r="QF206" s="6"/>
      <c r="QG206" s="6"/>
      <c r="QH206" s="6"/>
      <c r="QI206" s="6"/>
      <c r="QJ206" s="6"/>
      <c r="QK206" s="6"/>
      <c r="QL206" s="6"/>
      <c r="QM206" s="6"/>
      <c r="QN206" s="6"/>
      <c r="QO206" s="6"/>
      <c r="QP206" s="6"/>
      <c r="QQ206" s="6"/>
      <c r="QR206" s="6"/>
      <c r="QS206" s="6"/>
      <c r="QT206" s="6"/>
      <c r="QU206" s="6"/>
      <c r="QV206" s="6"/>
      <c r="QW206" s="6"/>
      <c r="QX206" s="6"/>
      <c r="QY206" s="6"/>
      <c r="QZ206" s="6"/>
      <c r="RA206" s="6"/>
      <c r="RB206" s="6"/>
      <c r="RC206" s="6"/>
      <c r="RD206" s="6"/>
      <c r="RE206" s="6"/>
      <c r="RF206" s="6"/>
      <c r="RG206" s="6"/>
      <c r="RH206" s="6"/>
      <c r="RI206" s="6"/>
      <c r="RJ206" s="6"/>
      <c r="RK206" s="6"/>
      <c r="RL206" s="6"/>
      <c r="RM206" s="6"/>
      <c r="RN206" s="6"/>
      <c r="RO206" s="6"/>
      <c r="RP206" s="6"/>
      <c r="RQ206" s="6"/>
      <c r="RR206" s="6"/>
      <c r="RS206" s="6"/>
      <c r="RT206" s="6"/>
      <c r="RU206" s="6"/>
      <c r="RV206" s="6"/>
      <c r="RW206" s="6"/>
      <c r="RX206" s="6"/>
      <c r="RY206" s="6"/>
      <c r="RZ206" s="6"/>
      <c r="SA206" s="6"/>
      <c r="SB206" s="6"/>
      <c r="SC206" s="6"/>
      <c r="SD206" s="6"/>
      <c r="SE206" s="6"/>
      <c r="SF206" s="6"/>
      <c r="SG206" s="6"/>
      <c r="SH206" s="6"/>
      <c r="SI206" s="6"/>
      <c r="SJ206" s="6"/>
      <c r="SK206" s="6"/>
      <c r="SL206" s="6"/>
      <c r="SM206" s="6"/>
      <c r="SN206" s="6"/>
      <c r="SO206" s="6"/>
      <c r="SP206" s="6"/>
      <c r="SQ206" s="6"/>
      <c r="SR206" s="6"/>
      <c r="SS206" s="6"/>
      <c r="ST206" s="6"/>
      <c r="SU206" s="6"/>
      <c r="SV206" s="6"/>
      <c r="SW206" s="6"/>
      <c r="SX206" s="6"/>
      <c r="SY206" s="6"/>
      <c r="SZ206" s="6"/>
      <c r="TA206" s="6"/>
      <c r="TB206" s="6"/>
      <c r="TC206" s="6"/>
      <c r="TD206" s="6"/>
      <c r="TE206" s="6"/>
      <c r="TF206" s="6"/>
      <c r="TG206" s="6"/>
      <c r="TH206" s="6"/>
      <c r="TI206" s="6"/>
      <c r="TJ206" s="6"/>
      <c r="TK206" s="6"/>
      <c r="TL206" s="6"/>
      <c r="TM206" s="6"/>
      <c r="TN206" s="6"/>
      <c r="TO206" s="6"/>
      <c r="TP206" s="6"/>
      <c r="TQ206" s="6"/>
      <c r="TR206" s="6"/>
      <c r="TS206" s="6"/>
      <c r="TT206" s="6"/>
      <c r="TU206" s="6"/>
      <c r="TV206" s="6"/>
      <c r="TW206" s="6"/>
      <c r="TX206" s="6"/>
      <c r="TY206" s="6"/>
      <c r="TZ206" s="6"/>
      <c r="UA206" s="6"/>
      <c r="UB206" s="6"/>
      <c r="UC206" s="6"/>
      <c r="UD206" s="6"/>
      <c r="UE206" s="6"/>
      <c r="UF206" s="6"/>
      <c r="UG206" s="6"/>
      <c r="UH206" s="6"/>
      <c r="UI206" s="6"/>
      <c r="UJ206" s="6"/>
      <c r="UK206" s="6"/>
      <c r="UL206" s="6"/>
      <c r="UM206" s="6"/>
      <c r="UN206" s="6"/>
      <c r="UO206" s="6"/>
      <c r="UP206" s="6"/>
      <c r="UQ206" s="6"/>
      <c r="UR206" s="6"/>
      <c r="US206" s="6"/>
      <c r="UT206" s="6"/>
      <c r="UU206" s="6"/>
      <c r="UV206" s="6"/>
      <c r="UW206" s="6"/>
      <c r="UX206" s="6"/>
      <c r="UY206" s="6"/>
      <c r="UZ206" s="6"/>
      <c r="VA206" s="6"/>
      <c r="VB206" s="6"/>
      <c r="VC206" s="6"/>
      <c r="VD206" s="6"/>
      <c r="VE206" s="6"/>
      <c r="VF206" s="6"/>
      <c r="VG206" s="6"/>
      <c r="VH206" s="6"/>
      <c r="VI206" s="6"/>
      <c r="VJ206" s="6"/>
      <c r="VK206" s="6"/>
      <c r="VL206" s="6"/>
      <c r="VM206" s="6"/>
      <c r="VN206" s="6"/>
      <c r="VO206" s="6"/>
      <c r="VP206" s="6"/>
      <c r="VQ206" s="6"/>
      <c r="VR206" s="6"/>
      <c r="VS206" s="6"/>
      <c r="VT206" s="6"/>
      <c r="VU206" s="6"/>
      <c r="VV206" s="6"/>
      <c r="VW206" s="6"/>
      <c r="VX206" s="6"/>
      <c r="VY206" s="6"/>
      <c r="VZ206" s="6"/>
      <c r="WA206" s="6"/>
      <c r="WB206" s="6"/>
      <c r="WC206" s="6"/>
      <c r="WD206" s="6"/>
      <c r="WE206" s="6"/>
      <c r="WF206" s="6"/>
      <c r="WG206" s="6"/>
      <c r="WH206" s="6"/>
      <c r="WI206" s="6"/>
      <c r="WJ206" s="6"/>
      <c r="WK206" s="6"/>
      <c r="WL206" s="6"/>
      <c r="WM206" s="6"/>
      <c r="WN206" s="6"/>
      <c r="WO206" s="6"/>
      <c r="WP206" s="6"/>
      <c r="WQ206" s="6"/>
      <c r="WR206" s="6"/>
      <c r="WS206" s="6"/>
      <c r="WT206" s="6"/>
      <c r="WU206" s="6"/>
      <c r="WV206" s="6"/>
      <c r="WW206" s="6"/>
      <c r="WX206" s="6"/>
      <c r="WY206" s="6"/>
      <c r="WZ206" s="6"/>
      <c r="XA206" s="6"/>
      <c r="XB206" s="6"/>
      <c r="XC206" s="6"/>
      <c r="XD206" s="6"/>
      <c r="XE206" s="6"/>
      <c r="XF206" s="6"/>
      <c r="XG206" s="6"/>
      <c r="XH206" s="6"/>
      <c r="XI206" s="6"/>
      <c r="XJ206" s="6"/>
      <c r="XK206" s="6"/>
      <c r="XL206" s="6"/>
      <c r="XM206" s="6"/>
      <c r="XN206" s="6"/>
      <c r="XO206" s="6"/>
      <c r="XP206" s="6"/>
      <c r="XQ206" s="6"/>
      <c r="XR206" s="6"/>
      <c r="XS206" s="6"/>
      <c r="XT206" s="6"/>
      <c r="XU206" s="6"/>
      <c r="XV206" s="6"/>
      <c r="XW206" s="6"/>
      <c r="XX206" s="6"/>
      <c r="XY206" s="6"/>
      <c r="XZ206" s="6"/>
      <c r="YA206" s="6"/>
      <c r="YB206" s="6"/>
      <c r="YC206" s="6"/>
      <c r="YD206" s="6"/>
      <c r="YE206" s="6"/>
      <c r="YF206" s="6"/>
      <c r="YG206" s="6"/>
      <c r="YH206" s="6"/>
      <c r="YI206" s="6"/>
      <c r="YJ206" s="6"/>
      <c r="YK206" s="6"/>
      <c r="YL206" s="6"/>
      <c r="YM206" s="6"/>
      <c r="YN206" s="6"/>
      <c r="YO206" s="6"/>
      <c r="YP206" s="6"/>
      <c r="YQ206" s="6"/>
      <c r="YR206" s="6"/>
      <c r="YS206" s="6"/>
      <c r="YT206" s="6"/>
      <c r="YU206" s="6"/>
      <c r="YV206" s="6"/>
      <c r="YW206" s="6"/>
      <c r="YX206" s="6"/>
      <c r="YY206" s="6"/>
      <c r="YZ206" s="6"/>
      <c r="ZA206" s="6"/>
      <c r="ZB206" s="6"/>
      <c r="ZC206" s="6"/>
      <c r="ZD206" s="6"/>
      <c r="ZE206" s="6"/>
      <c r="ZF206" s="6"/>
      <c r="ZG206" s="6"/>
      <c r="ZH206" s="6"/>
      <c r="ZI206" s="6"/>
      <c r="ZJ206" s="6"/>
      <c r="ZK206" s="6"/>
      <c r="ZL206" s="6"/>
      <c r="ZM206" s="6"/>
      <c r="ZN206" s="6"/>
      <c r="ZO206" s="6"/>
      <c r="ZP206" s="6"/>
      <c r="ZQ206" s="6"/>
      <c r="ZR206" s="6"/>
      <c r="ZS206" s="6"/>
      <c r="ZT206" s="6"/>
      <c r="ZU206" s="6"/>
      <c r="ZV206" s="6"/>
      <c r="ZW206" s="6"/>
      <c r="ZX206" s="6"/>
      <c r="ZY206" s="6"/>
      <c r="ZZ206" s="6"/>
      <c r="AAA206" s="6"/>
      <c r="AAB206" s="6"/>
      <c r="AAC206" s="6"/>
      <c r="AAD206" s="6"/>
      <c r="AAE206" s="6"/>
      <c r="AAF206" s="6"/>
      <c r="AAG206" s="6"/>
      <c r="AAH206" s="6"/>
      <c r="AAI206" s="6"/>
      <c r="AAJ206" s="6"/>
      <c r="AAK206" s="6"/>
      <c r="AAL206" s="6"/>
      <c r="AAM206" s="6"/>
      <c r="AAN206" s="6"/>
      <c r="AAO206" s="6"/>
      <c r="AAP206" s="6"/>
      <c r="AAQ206" s="6"/>
      <c r="AAR206" s="6"/>
      <c r="AAS206" s="6"/>
      <c r="AAT206" s="6"/>
      <c r="AAU206" s="6"/>
      <c r="AAV206" s="6"/>
      <c r="AAW206" s="6"/>
      <c r="AAX206" s="6"/>
      <c r="AAY206" s="6"/>
      <c r="AAZ206" s="6"/>
      <c r="ABA206" s="6"/>
      <c r="ABB206" s="6"/>
      <c r="ABC206" s="6"/>
      <c r="ABD206" s="6"/>
      <c r="ABE206" s="6"/>
      <c r="ABF206" s="6"/>
      <c r="ABG206" s="6"/>
      <c r="ABH206" s="6"/>
      <c r="ABI206" s="6"/>
      <c r="ABJ206" s="6"/>
      <c r="ABK206" s="6"/>
      <c r="ABL206" s="6"/>
      <c r="ABM206" s="6"/>
      <c r="ABN206" s="6"/>
      <c r="ABO206" s="6"/>
      <c r="ABP206" s="6"/>
      <c r="ABQ206" s="6"/>
      <c r="ABR206" s="6"/>
      <c r="ABS206" s="6"/>
      <c r="ABT206" s="6"/>
      <c r="ABU206" s="6"/>
      <c r="ABV206" s="6"/>
      <c r="ABW206" s="6"/>
      <c r="ABX206" s="6"/>
      <c r="ABY206" s="6"/>
      <c r="ABZ206" s="6"/>
      <c r="ACA206" s="6"/>
      <c r="ACB206" s="6"/>
      <c r="ACC206" s="6"/>
      <c r="ACD206" s="6"/>
      <c r="ACE206" s="6"/>
      <c r="ACF206" s="6"/>
      <c r="ACG206" s="6"/>
      <c r="ACH206" s="6"/>
      <c r="ACI206" s="6"/>
      <c r="ACJ206" s="6"/>
      <c r="ACK206" s="6"/>
      <c r="ACL206" s="6"/>
      <c r="ACM206" s="6"/>
      <c r="ACN206" s="6"/>
      <c r="ACO206" s="6"/>
      <c r="ACP206" s="6"/>
      <c r="ACQ206" s="6"/>
      <c r="ACR206" s="6"/>
      <c r="ACS206" s="6"/>
      <c r="ACT206" s="6"/>
      <c r="ACU206" s="6"/>
      <c r="ACV206" s="6"/>
      <c r="ACW206" s="6"/>
      <c r="ACX206" s="6"/>
      <c r="ACY206" s="6"/>
      <c r="ACZ206" s="6"/>
      <c r="ADA206" s="6"/>
      <c r="ADB206" s="6"/>
      <c r="ADC206" s="6"/>
      <c r="ADD206" s="6"/>
      <c r="ADE206" s="6"/>
      <c r="ADF206" s="6"/>
      <c r="ADG206" s="6"/>
      <c r="ADH206" s="6"/>
      <c r="ADI206" s="6"/>
      <c r="ADJ206" s="6"/>
    </row>
    <row r="207" spans="1:790" s="291" customFormat="1" x14ac:dyDescent="0.3">
      <c r="A207" s="399"/>
      <c r="B207" s="571" t="s">
        <v>110</v>
      </c>
      <c r="C207" s="366"/>
      <c r="D207" s="367"/>
      <c r="E207" s="367"/>
      <c r="F207" s="362">
        <f>F204</f>
        <v>23.2</v>
      </c>
      <c r="G207" s="362">
        <v>0.2</v>
      </c>
      <c r="H207" s="362">
        <f>+PRODUCT(C207:G207)</f>
        <v>4.6399999999999997</v>
      </c>
      <c r="I207" s="369" t="s">
        <v>22</v>
      </c>
      <c r="J207" s="362">
        <f>+PRODUCT(C207:G207)</f>
        <v>4.6399999999999997</v>
      </c>
      <c r="K207" s="363">
        <v>180</v>
      </c>
      <c r="L207" s="370">
        <f t="shared" ref="L207" si="210">J207*K207</f>
        <v>835.19999999999993</v>
      </c>
      <c r="M207" s="490">
        <f t="shared" ref="M207" si="211">K207*(100%-16.5%)</f>
        <v>150.29999999999998</v>
      </c>
      <c r="N207" s="489">
        <f t="shared" si="138"/>
        <v>697.39199999999983</v>
      </c>
      <c r="O207" s="308"/>
      <c r="Q207" s="497"/>
      <c r="R207" s="481">
        <f t="shared" si="148"/>
        <v>4.6399999999999997</v>
      </c>
      <c r="S207" s="514">
        <f>S204</f>
        <v>15</v>
      </c>
      <c r="T207" s="515">
        <f t="shared" ref="T207" si="212">IF(S207&gt;0,S207*R207,"")</f>
        <v>69.599999999999994</v>
      </c>
      <c r="U207" s="482">
        <f t="shared" ref="U207" si="213">IF(R207&gt;0,R207,"")</f>
        <v>4.6399999999999997</v>
      </c>
      <c r="V207" s="526">
        <f>V183</f>
        <v>120</v>
      </c>
      <c r="W207" s="515">
        <f t="shared" si="145"/>
        <v>556.79999999999995</v>
      </c>
      <c r="X207" s="507">
        <f t="shared" ref="X207" si="214">V207+S207</f>
        <v>135</v>
      </c>
      <c r="Y207" s="520">
        <f t="shared" ref="Y207" si="215">M207-X207</f>
        <v>15.299999999999983</v>
      </c>
      <c r="Z207" s="521">
        <f t="shared" ref="Z207" si="216">Y207/M207</f>
        <v>0.10179640718562864</v>
      </c>
      <c r="AA207" s="471"/>
      <c r="AB207" s="471"/>
      <c r="AC207" s="471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6"/>
      <c r="IK207" s="6"/>
      <c r="IL207" s="6"/>
      <c r="IM207" s="6"/>
      <c r="IN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6"/>
      <c r="KZ207" s="6"/>
      <c r="LA207" s="6"/>
      <c r="LB207" s="6"/>
      <c r="LC207" s="6"/>
      <c r="LD207" s="6"/>
      <c r="LE207" s="6"/>
      <c r="LF207" s="6"/>
      <c r="LG207" s="6"/>
      <c r="LH207" s="6"/>
      <c r="LI207" s="6"/>
      <c r="LJ207" s="6"/>
      <c r="LK207" s="6"/>
      <c r="LL207" s="6"/>
      <c r="LM207" s="6"/>
      <c r="LN207" s="6"/>
      <c r="LO207" s="6"/>
      <c r="LP207" s="6"/>
      <c r="LQ207" s="6"/>
      <c r="LR207" s="6"/>
      <c r="LS207" s="6"/>
      <c r="LT207" s="6"/>
      <c r="LU207" s="6"/>
      <c r="LV207" s="6"/>
      <c r="LW207" s="6"/>
      <c r="LX207" s="6"/>
      <c r="LY207" s="6"/>
      <c r="LZ207" s="6"/>
      <c r="MA207" s="6"/>
      <c r="MB207" s="6"/>
      <c r="MC207" s="6"/>
      <c r="MD207" s="6"/>
      <c r="ME207" s="6"/>
      <c r="MF207" s="6"/>
      <c r="MG207" s="6"/>
      <c r="MH207" s="6"/>
      <c r="MI207" s="6"/>
      <c r="MJ207" s="6"/>
      <c r="MK207" s="6"/>
      <c r="ML207" s="6"/>
      <c r="MM207" s="6"/>
      <c r="MN207" s="6"/>
      <c r="MO207" s="6"/>
      <c r="MP207" s="6"/>
      <c r="MQ207" s="6"/>
      <c r="MR207" s="6"/>
      <c r="MS207" s="6"/>
      <c r="MT207" s="6"/>
      <c r="MU207" s="6"/>
      <c r="MV207" s="6"/>
      <c r="MW207" s="6"/>
      <c r="MX207" s="6"/>
      <c r="MY207" s="6"/>
      <c r="MZ207" s="6"/>
      <c r="NA207" s="6"/>
      <c r="NB207" s="6"/>
      <c r="NC207" s="6"/>
      <c r="ND207" s="6"/>
      <c r="NE207" s="6"/>
      <c r="NF207" s="6"/>
      <c r="NG207" s="6"/>
      <c r="NH207" s="6"/>
      <c r="NI207" s="6"/>
      <c r="NJ207" s="6"/>
      <c r="NK207" s="6"/>
      <c r="NL207" s="6"/>
      <c r="NM207" s="6"/>
      <c r="NN207" s="6"/>
      <c r="NO207" s="6"/>
      <c r="NP207" s="6"/>
      <c r="NQ207" s="6"/>
      <c r="NR207" s="6"/>
      <c r="NS207" s="6"/>
      <c r="NT207" s="6"/>
      <c r="NU207" s="6"/>
      <c r="NV207" s="6"/>
      <c r="NW207" s="6"/>
      <c r="NX207" s="6"/>
      <c r="NY207" s="6"/>
      <c r="NZ207" s="6"/>
      <c r="OA207" s="6"/>
      <c r="OB207" s="6"/>
      <c r="OC207" s="6"/>
      <c r="OD207" s="6"/>
      <c r="OE207" s="6"/>
      <c r="OF207" s="6"/>
      <c r="OG207" s="6"/>
      <c r="OH207" s="6"/>
      <c r="OI207" s="6"/>
      <c r="OJ207" s="6"/>
      <c r="OK207" s="6"/>
      <c r="OL207" s="6"/>
      <c r="OM207" s="6"/>
      <c r="ON207" s="6"/>
      <c r="OO207" s="6"/>
      <c r="OP207" s="6"/>
      <c r="OQ207" s="6"/>
      <c r="OR207" s="6"/>
      <c r="OS207" s="6"/>
      <c r="OT207" s="6"/>
      <c r="OU207" s="6"/>
      <c r="OV207" s="6"/>
      <c r="OW207" s="6"/>
      <c r="OX207" s="6"/>
      <c r="OY207" s="6"/>
      <c r="OZ207" s="6"/>
      <c r="PA207" s="6"/>
      <c r="PB207" s="6"/>
      <c r="PC207" s="6"/>
      <c r="PD207" s="6"/>
      <c r="PE207" s="6"/>
      <c r="PF207" s="6"/>
      <c r="PG207" s="6"/>
      <c r="PH207" s="6"/>
      <c r="PI207" s="6"/>
      <c r="PJ207" s="6"/>
      <c r="PK207" s="6"/>
      <c r="PL207" s="6"/>
      <c r="PM207" s="6"/>
      <c r="PN207" s="6"/>
      <c r="PO207" s="6"/>
      <c r="PP207" s="6"/>
      <c r="PQ207" s="6"/>
      <c r="PR207" s="6"/>
      <c r="PS207" s="6"/>
      <c r="PT207" s="6"/>
      <c r="PU207" s="6"/>
      <c r="PV207" s="6"/>
      <c r="PW207" s="6"/>
      <c r="PX207" s="6"/>
      <c r="PY207" s="6"/>
      <c r="PZ207" s="6"/>
      <c r="QA207" s="6"/>
      <c r="QB207" s="6"/>
      <c r="QC207" s="6"/>
      <c r="QD207" s="6"/>
      <c r="QE207" s="6"/>
      <c r="QF207" s="6"/>
      <c r="QG207" s="6"/>
      <c r="QH207" s="6"/>
      <c r="QI207" s="6"/>
      <c r="QJ207" s="6"/>
      <c r="QK207" s="6"/>
      <c r="QL207" s="6"/>
      <c r="QM207" s="6"/>
      <c r="QN207" s="6"/>
      <c r="QO207" s="6"/>
      <c r="QP207" s="6"/>
      <c r="QQ207" s="6"/>
      <c r="QR207" s="6"/>
      <c r="QS207" s="6"/>
      <c r="QT207" s="6"/>
      <c r="QU207" s="6"/>
      <c r="QV207" s="6"/>
      <c r="QW207" s="6"/>
      <c r="QX207" s="6"/>
      <c r="QY207" s="6"/>
      <c r="QZ207" s="6"/>
      <c r="RA207" s="6"/>
      <c r="RB207" s="6"/>
      <c r="RC207" s="6"/>
      <c r="RD207" s="6"/>
      <c r="RE207" s="6"/>
      <c r="RF207" s="6"/>
      <c r="RG207" s="6"/>
      <c r="RH207" s="6"/>
      <c r="RI207" s="6"/>
      <c r="RJ207" s="6"/>
      <c r="RK207" s="6"/>
      <c r="RL207" s="6"/>
      <c r="RM207" s="6"/>
      <c r="RN207" s="6"/>
      <c r="RO207" s="6"/>
      <c r="RP207" s="6"/>
      <c r="RQ207" s="6"/>
      <c r="RR207" s="6"/>
      <c r="RS207" s="6"/>
      <c r="RT207" s="6"/>
      <c r="RU207" s="6"/>
      <c r="RV207" s="6"/>
      <c r="RW207" s="6"/>
      <c r="RX207" s="6"/>
      <c r="RY207" s="6"/>
      <c r="RZ207" s="6"/>
      <c r="SA207" s="6"/>
      <c r="SB207" s="6"/>
      <c r="SC207" s="6"/>
      <c r="SD207" s="6"/>
      <c r="SE207" s="6"/>
      <c r="SF207" s="6"/>
      <c r="SG207" s="6"/>
      <c r="SH207" s="6"/>
      <c r="SI207" s="6"/>
      <c r="SJ207" s="6"/>
      <c r="SK207" s="6"/>
      <c r="SL207" s="6"/>
      <c r="SM207" s="6"/>
      <c r="SN207" s="6"/>
      <c r="SO207" s="6"/>
      <c r="SP207" s="6"/>
      <c r="SQ207" s="6"/>
      <c r="SR207" s="6"/>
      <c r="SS207" s="6"/>
      <c r="ST207" s="6"/>
      <c r="SU207" s="6"/>
      <c r="SV207" s="6"/>
      <c r="SW207" s="6"/>
      <c r="SX207" s="6"/>
      <c r="SY207" s="6"/>
      <c r="SZ207" s="6"/>
      <c r="TA207" s="6"/>
      <c r="TB207" s="6"/>
      <c r="TC207" s="6"/>
      <c r="TD207" s="6"/>
      <c r="TE207" s="6"/>
      <c r="TF207" s="6"/>
      <c r="TG207" s="6"/>
      <c r="TH207" s="6"/>
      <c r="TI207" s="6"/>
      <c r="TJ207" s="6"/>
      <c r="TK207" s="6"/>
      <c r="TL207" s="6"/>
      <c r="TM207" s="6"/>
      <c r="TN207" s="6"/>
      <c r="TO207" s="6"/>
      <c r="TP207" s="6"/>
      <c r="TQ207" s="6"/>
      <c r="TR207" s="6"/>
      <c r="TS207" s="6"/>
      <c r="TT207" s="6"/>
      <c r="TU207" s="6"/>
      <c r="TV207" s="6"/>
      <c r="TW207" s="6"/>
      <c r="TX207" s="6"/>
      <c r="TY207" s="6"/>
      <c r="TZ207" s="6"/>
      <c r="UA207" s="6"/>
      <c r="UB207" s="6"/>
      <c r="UC207" s="6"/>
      <c r="UD207" s="6"/>
      <c r="UE207" s="6"/>
      <c r="UF207" s="6"/>
      <c r="UG207" s="6"/>
      <c r="UH207" s="6"/>
      <c r="UI207" s="6"/>
      <c r="UJ207" s="6"/>
      <c r="UK207" s="6"/>
      <c r="UL207" s="6"/>
      <c r="UM207" s="6"/>
      <c r="UN207" s="6"/>
      <c r="UO207" s="6"/>
      <c r="UP207" s="6"/>
      <c r="UQ207" s="6"/>
      <c r="UR207" s="6"/>
      <c r="US207" s="6"/>
      <c r="UT207" s="6"/>
      <c r="UU207" s="6"/>
      <c r="UV207" s="6"/>
      <c r="UW207" s="6"/>
      <c r="UX207" s="6"/>
      <c r="UY207" s="6"/>
      <c r="UZ207" s="6"/>
      <c r="VA207" s="6"/>
      <c r="VB207" s="6"/>
      <c r="VC207" s="6"/>
      <c r="VD207" s="6"/>
      <c r="VE207" s="6"/>
      <c r="VF207" s="6"/>
      <c r="VG207" s="6"/>
      <c r="VH207" s="6"/>
      <c r="VI207" s="6"/>
      <c r="VJ207" s="6"/>
      <c r="VK207" s="6"/>
      <c r="VL207" s="6"/>
      <c r="VM207" s="6"/>
      <c r="VN207" s="6"/>
      <c r="VO207" s="6"/>
      <c r="VP207" s="6"/>
      <c r="VQ207" s="6"/>
      <c r="VR207" s="6"/>
      <c r="VS207" s="6"/>
      <c r="VT207" s="6"/>
      <c r="VU207" s="6"/>
      <c r="VV207" s="6"/>
      <c r="VW207" s="6"/>
      <c r="VX207" s="6"/>
      <c r="VY207" s="6"/>
      <c r="VZ207" s="6"/>
      <c r="WA207" s="6"/>
      <c r="WB207" s="6"/>
      <c r="WC207" s="6"/>
      <c r="WD207" s="6"/>
      <c r="WE207" s="6"/>
      <c r="WF207" s="6"/>
      <c r="WG207" s="6"/>
      <c r="WH207" s="6"/>
      <c r="WI207" s="6"/>
      <c r="WJ207" s="6"/>
      <c r="WK207" s="6"/>
      <c r="WL207" s="6"/>
      <c r="WM207" s="6"/>
      <c r="WN207" s="6"/>
      <c r="WO207" s="6"/>
      <c r="WP207" s="6"/>
      <c r="WQ207" s="6"/>
      <c r="WR207" s="6"/>
      <c r="WS207" s="6"/>
      <c r="WT207" s="6"/>
      <c r="WU207" s="6"/>
      <c r="WV207" s="6"/>
      <c r="WW207" s="6"/>
      <c r="WX207" s="6"/>
      <c r="WY207" s="6"/>
      <c r="WZ207" s="6"/>
      <c r="XA207" s="6"/>
      <c r="XB207" s="6"/>
      <c r="XC207" s="6"/>
      <c r="XD207" s="6"/>
      <c r="XE207" s="6"/>
      <c r="XF207" s="6"/>
      <c r="XG207" s="6"/>
      <c r="XH207" s="6"/>
      <c r="XI207" s="6"/>
      <c r="XJ207" s="6"/>
      <c r="XK207" s="6"/>
      <c r="XL207" s="6"/>
      <c r="XM207" s="6"/>
      <c r="XN207" s="6"/>
      <c r="XO207" s="6"/>
      <c r="XP207" s="6"/>
      <c r="XQ207" s="6"/>
      <c r="XR207" s="6"/>
      <c r="XS207" s="6"/>
      <c r="XT207" s="6"/>
      <c r="XU207" s="6"/>
      <c r="XV207" s="6"/>
      <c r="XW207" s="6"/>
      <c r="XX207" s="6"/>
      <c r="XY207" s="6"/>
      <c r="XZ207" s="6"/>
      <c r="YA207" s="6"/>
      <c r="YB207" s="6"/>
      <c r="YC207" s="6"/>
      <c r="YD207" s="6"/>
      <c r="YE207" s="6"/>
      <c r="YF207" s="6"/>
      <c r="YG207" s="6"/>
      <c r="YH207" s="6"/>
      <c r="YI207" s="6"/>
      <c r="YJ207" s="6"/>
      <c r="YK207" s="6"/>
      <c r="YL207" s="6"/>
      <c r="YM207" s="6"/>
      <c r="YN207" s="6"/>
      <c r="YO207" s="6"/>
      <c r="YP207" s="6"/>
      <c r="YQ207" s="6"/>
      <c r="YR207" s="6"/>
      <c r="YS207" s="6"/>
      <c r="YT207" s="6"/>
      <c r="YU207" s="6"/>
      <c r="YV207" s="6"/>
      <c r="YW207" s="6"/>
      <c r="YX207" s="6"/>
      <c r="YY207" s="6"/>
      <c r="YZ207" s="6"/>
      <c r="ZA207" s="6"/>
      <c r="ZB207" s="6"/>
      <c r="ZC207" s="6"/>
      <c r="ZD207" s="6"/>
      <c r="ZE207" s="6"/>
      <c r="ZF207" s="6"/>
      <c r="ZG207" s="6"/>
      <c r="ZH207" s="6"/>
      <c r="ZI207" s="6"/>
      <c r="ZJ207" s="6"/>
      <c r="ZK207" s="6"/>
      <c r="ZL207" s="6"/>
      <c r="ZM207" s="6"/>
      <c r="ZN207" s="6"/>
      <c r="ZO207" s="6"/>
      <c r="ZP207" s="6"/>
      <c r="ZQ207" s="6"/>
      <c r="ZR207" s="6"/>
      <c r="ZS207" s="6"/>
      <c r="ZT207" s="6"/>
      <c r="ZU207" s="6"/>
      <c r="ZV207" s="6"/>
      <c r="ZW207" s="6"/>
      <c r="ZX207" s="6"/>
      <c r="ZY207" s="6"/>
      <c r="ZZ207" s="6"/>
      <c r="AAA207" s="6"/>
      <c r="AAB207" s="6"/>
      <c r="AAC207" s="6"/>
      <c r="AAD207" s="6"/>
      <c r="AAE207" s="6"/>
      <c r="AAF207" s="6"/>
      <c r="AAG207" s="6"/>
      <c r="AAH207" s="6"/>
      <c r="AAI207" s="6"/>
      <c r="AAJ207" s="6"/>
      <c r="AAK207" s="6"/>
      <c r="AAL207" s="6"/>
      <c r="AAM207" s="6"/>
      <c r="AAN207" s="6"/>
      <c r="AAO207" s="6"/>
      <c r="AAP207" s="6"/>
      <c r="AAQ207" s="6"/>
      <c r="AAR207" s="6"/>
      <c r="AAS207" s="6"/>
      <c r="AAT207" s="6"/>
      <c r="AAU207" s="6"/>
      <c r="AAV207" s="6"/>
      <c r="AAW207" s="6"/>
      <c r="AAX207" s="6"/>
      <c r="AAY207" s="6"/>
      <c r="AAZ207" s="6"/>
      <c r="ABA207" s="6"/>
      <c r="ABB207" s="6"/>
      <c r="ABC207" s="6"/>
      <c r="ABD207" s="6"/>
      <c r="ABE207" s="6"/>
      <c r="ABF207" s="6"/>
      <c r="ABG207" s="6"/>
      <c r="ABH207" s="6"/>
      <c r="ABI207" s="6"/>
      <c r="ABJ207" s="6"/>
      <c r="ABK207" s="6"/>
      <c r="ABL207" s="6"/>
      <c r="ABM207" s="6"/>
      <c r="ABN207" s="6"/>
      <c r="ABO207" s="6"/>
      <c r="ABP207" s="6"/>
      <c r="ABQ207" s="6"/>
      <c r="ABR207" s="6"/>
      <c r="ABS207" s="6"/>
      <c r="ABT207" s="6"/>
      <c r="ABU207" s="6"/>
      <c r="ABV207" s="6"/>
      <c r="ABW207" s="6"/>
      <c r="ABX207" s="6"/>
      <c r="ABY207" s="6"/>
      <c r="ABZ207" s="6"/>
      <c r="ACA207" s="6"/>
      <c r="ACB207" s="6"/>
      <c r="ACC207" s="6"/>
      <c r="ACD207" s="6"/>
      <c r="ACE207" s="6"/>
      <c r="ACF207" s="6"/>
      <c r="ACG207" s="6"/>
      <c r="ACH207" s="6"/>
      <c r="ACI207" s="6"/>
      <c r="ACJ207" s="6"/>
      <c r="ACK207" s="6"/>
      <c r="ACL207" s="6"/>
      <c r="ACM207" s="6"/>
      <c r="ACN207" s="6"/>
      <c r="ACO207" s="6"/>
      <c r="ACP207" s="6"/>
      <c r="ACQ207" s="6"/>
      <c r="ACR207" s="6"/>
      <c r="ACS207" s="6"/>
      <c r="ACT207" s="6"/>
      <c r="ACU207" s="6"/>
      <c r="ACV207" s="6"/>
      <c r="ACW207" s="6"/>
      <c r="ACX207" s="6"/>
      <c r="ACY207" s="6"/>
      <c r="ACZ207" s="6"/>
      <c r="ADA207" s="6"/>
      <c r="ADB207" s="6"/>
      <c r="ADC207" s="6"/>
      <c r="ADD207" s="6"/>
      <c r="ADE207" s="6"/>
      <c r="ADF207" s="6"/>
      <c r="ADG207" s="6"/>
      <c r="ADH207" s="6"/>
      <c r="ADI207" s="6"/>
      <c r="ADJ207" s="6"/>
    </row>
    <row r="208" spans="1:790" s="291" customFormat="1" x14ac:dyDescent="0.3">
      <c r="A208" s="399"/>
      <c r="B208" s="558"/>
      <c r="C208" s="366"/>
      <c r="D208" s="367"/>
      <c r="E208" s="367"/>
      <c r="F208" s="362"/>
      <c r="G208" s="362"/>
      <c r="H208" s="362"/>
      <c r="I208" s="369"/>
      <c r="J208" s="362"/>
      <c r="K208" s="363"/>
      <c r="L208" s="370"/>
      <c r="M208" s="490"/>
      <c r="N208" s="489" t="str">
        <f t="shared" si="138"/>
        <v/>
      </c>
      <c r="O208" s="308"/>
      <c r="Q208" s="497"/>
      <c r="R208" s="481"/>
      <c r="S208" s="514"/>
      <c r="T208" s="515" t="str">
        <f t="shared" si="143"/>
        <v/>
      </c>
      <c r="U208" s="482" t="str">
        <f t="shared" si="144"/>
        <v/>
      </c>
      <c r="V208" s="514"/>
      <c r="W208" s="515" t="str">
        <f t="shared" si="145"/>
        <v/>
      </c>
      <c r="X208" s="507"/>
      <c r="Y208" s="507"/>
      <c r="Z208" s="478"/>
      <c r="AA208" s="471"/>
      <c r="AB208" s="471"/>
      <c r="AC208" s="471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6"/>
      <c r="KZ208" s="6"/>
      <c r="LA208" s="6"/>
      <c r="LB208" s="6"/>
      <c r="LC208" s="6"/>
      <c r="LD208" s="6"/>
      <c r="LE208" s="6"/>
      <c r="LF208" s="6"/>
      <c r="LG208" s="6"/>
      <c r="LH208" s="6"/>
      <c r="LI208" s="6"/>
      <c r="LJ208" s="6"/>
      <c r="LK208" s="6"/>
      <c r="LL208" s="6"/>
      <c r="LM208" s="6"/>
      <c r="LN208" s="6"/>
      <c r="LO208" s="6"/>
      <c r="LP208" s="6"/>
      <c r="LQ208" s="6"/>
      <c r="LR208" s="6"/>
      <c r="LS208" s="6"/>
      <c r="LT208" s="6"/>
      <c r="LU208" s="6"/>
      <c r="LV208" s="6"/>
      <c r="LW208" s="6"/>
      <c r="LX208" s="6"/>
      <c r="LY208" s="6"/>
      <c r="LZ208" s="6"/>
      <c r="MA208" s="6"/>
      <c r="MB208" s="6"/>
      <c r="MC208" s="6"/>
      <c r="MD208" s="6"/>
      <c r="ME208" s="6"/>
      <c r="MF208" s="6"/>
      <c r="MG208" s="6"/>
      <c r="MH208" s="6"/>
      <c r="MI208" s="6"/>
      <c r="MJ208" s="6"/>
      <c r="MK208" s="6"/>
      <c r="ML208" s="6"/>
      <c r="MM208" s="6"/>
      <c r="MN208" s="6"/>
      <c r="MO208" s="6"/>
      <c r="MP208" s="6"/>
      <c r="MQ208" s="6"/>
      <c r="MR208" s="6"/>
      <c r="MS208" s="6"/>
      <c r="MT208" s="6"/>
      <c r="MU208" s="6"/>
      <c r="MV208" s="6"/>
      <c r="MW208" s="6"/>
      <c r="MX208" s="6"/>
      <c r="MY208" s="6"/>
      <c r="MZ208" s="6"/>
      <c r="NA208" s="6"/>
      <c r="NB208" s="6"/>
      <c r="NC208" s="6"/>
      <c r="ND208" s="6"/>
      <c r="NE208" s="6"/>
      <c r="NF208" s="6"/>
      <c r="NG208" s="6"/>
      <c r="NH208" s="6"/>
      <c r="NI208" s="6"/>
      <c r="NJ208" s="6"/>
      <c r="NK208" s="6"/>
      <c r="NL208" s="6"/>
      <c r="NM208" s="6"/>
      <c r="NN208" s="6"/>
      <c r="NO208" s="6"/>
      <c r="NP208" s="6"/>
      <c r="NQ208" s="6"/>
      <c r="NR208" s="6"/>
      <c r="NS208" s="6"/>
      <c r="NT208" s="6"/>
      <c r="NU208" s="6"/>
      <c r="NV208" s="6"/>
      <c r="NW208" s="6"/>
      <c r="NX208" s="6"/>
      <c r="NY208" s="6"/>
      <c r="NZ208" s="6"/>
      <c r="OA208" s="6"/>
      <c r="OB208" s="6"/>
      <c r="OC208" s="6"/>
      <c r="OD208" s="6"/>
      <c r="OE208" s="6"/>
      <c r="OF208" s="6"/>
      <c r="OG208" s="6"/>
      <c r="OH208" s="6"/>
      <c r="OI208" s="6"/>
      <c r="OJ208" s="6"/>
      <c r="OK208" s="6"/>
      <c r="OL208" s="6"/>
      <c r="OM208" s="6"/>
      <c r="ON208" s="6"/>
      <c r="OO208" s="6"/>
      <c r="OP208" s="6"/>
      <c r="OQ208" s="6"/>
      <c r="OR208" s="6"/>
      <c r="OS208" s="6"/>
      <c r="OT208" s="6"/>
      <c r="OU208" s="6"/>
      <c r="OV208" s="6"/>
      <c r="OW208" s="6"/>
      <c r="OX208" s="6"/>
      <c r="OY208" s="6"/>
      <c r="OZ208" s="6"/>
      <c r="PA208" s="6"/>
      <c r="PB208" s="6"/>
      <c r="PC208" s="6"/>
      <c r="PD208" s="6"/>
      <c r="PE208" s="6"/>
      <c r="PF208" s="6"/>
      <c r="PG208" s="6"/>
      <c r="PH208" s="6"/>
      <c r="PI208" s="6"/>
      <c r="PJ208" s="6"/>
      <c r="PK208" s="6"/>
      <c r="PL208" s="6"/>
      <c r="PM208" s="6"/>
      <c r="PN208" s="6"/>
      <c r="PO208" s="6"/>
      <c r="PP208" s="6"/>
      <c r="PQ208" s="6"/>
      <c r="PR208" s="6"/>
      <c r="PS208" s="6"/>
      <c r="PT208" s="6"/>
      <c r="PU208" s="6"/>
      <c r="PV208" s="6"/>
      <c r="PW208" s="6"/>
      <c r="PX208" s="6"/>
      <c r="PY208" s="6"/>
      <c r="PZ208" s="6"/>
      <c r="QA208" s="6"/>
      <c r="QB208" s="6"/>
      <c r="QC208" s="6"/>
      <c r="QD208" s="6"/>
      <c r="QE208" s="6"/>
      <c r="QF208" s="6"/>
      <c r="QG208" s="6"/>
      <c r="QH208" s="6"/>
      <c r="QI208" s="6"/>
      <c r="QJ208" s="6"/>
      <c r="QK208" s="6"/>
      <c r="QL208" s="6"/>
      <c r="QM208" s="6"/>
      <c r="QN208" s="6"/>
      <c r="QO208" s="6"/>
      <c r="QP208" s="6"/>
      <c r="QQ208" s="6"/>
      <c r="QR208" s="6"/>
      <c r="QS208" s="6"/>
      <c r="QT208" s="6"/>
      <c r="QU208" s="6"/>
      <c r="QV208" s="6"/>
      <c r="QW208" s="6"/>
      <c r="QX208" s="6"/>
      <c r="QY208" s="6"/>
      <c r="QZ208" s="6"/>
      <c r="RA208" s="6"/>
      <c r="RB208" s="6"/>
      <c r="RC208" s="6"/>
      <c r="RD208" s="6"/>
      <c r="RE208" s="6"/>
      <c r="RF208" s="6"/>
      <c r="RG208" s="6"/>
      <c r="RH208" s="6"/>
      <c r="RI208" s="6"/>
      <c r="RJ208" s="6"/>
      <c r="RK208" s="6"/>
      <c r="RL208" s="6"/>
      <c r="RM208" s="6"/>
      <c r="RN208" s="6"/>
      <c r="RO208" s="6"/>
      <c r="RP208" s="6"/>
      <c r="RQ208" s="6"/>
      <c r="RR208" s="6"/>
      <c r="RS208" s="6"/>
      <c r="RT208" s="6"/>
      <c r="RU208" s="6"/>
      <c r="RV208" s="6"/>
      <c r="RW208" s="6"/>
      <c r="RX208" s="6"/>
      <c r="RY208" s="6"/>
      <c r="RZ208" s="6"/>
      <c r="SA208" s="6"/>
      <c r="SB208" s="6"/>
      <c r="SC208" s="6"/>
      <c r="SD208" s="6"/>
      <c r="SE208" s="6"/>
      <c r="SF208" s="6"/>
      <c r="SG208" s="6"/>
      <c r="SH208" s="6"/>
      <c r="SI208" s="6"/>
      <c r="SJ208" s="6"/>
      <c r="SK208" s="6"/>
      <c r="SL208" s="6"/>
      <c r="SM208" s="6"/>
      <c r="SN208" s="6"/>
      <c r="SO208" s="6"/>
      <c r="SP208" s="6"/>
      <c r="SQ208" s="6"/>
      <c r="SR208" s="6"/>
      <c r="SS208" s="6"/>
      <c r="ST208" s="6"/>
      <c r="SU208" s="6"/>
      <c r="SV208" s="6"/>
      <c r="SW208" s="6"/>
      <c r="SX208" s="6"/>
      <c r="SY208" s="6"/>
      <c r="SZ208" s="6"/>
      <c r="TA208" s="6"/>
      <c r="TB208" s="6"/>
      <c r="TC208" s="6"/>
      <c r="TD208" s="6"/>
      <c r="TE208" s="6"/>
      <c r="TF208" s="6"/>
      <c r="TG208" s="6"/>
      <c r="TH208" s="6"/>
      <c r="TI208" s="6"/>
      <c r="TJ208" s="6"/>
      <c r="TK208" s="6"/>
      <c r="TL208" s="6"/>
      <c r="TM208" s="6"/>
      <c r="TN208" s="6"/>
      <c r="TO208" s="6"/>
      <c r="TP208" s="6"/>
      <c r="TQ208" s="6"/>
      <c r="TR208" s="6"/>
      <c r="TS208" s="6"/>
      <c r="TT208" s="6"/>
      <c r="TU208" s="6"/>
      <c r="TV208" s="6"/>
      <c r="TW208" s="6"/>
      <c r="TX208" s="6"/>
      <c r="TY208" s="6"/>
      <c r="TZ208" s="6"/>
      <c r="UA208" s="6"/>
      <c r="UB208" s="6"/>
      <c r="UC208" s="6"/>
      <c r="UD208" s="6"/>
      <c r="UE208" s="6"/>
      <c r="UF208" s="6"/>
      <c r="UG208" s="6"/>
      <c r="UH208" s="6"/>
      <c r="UI208" s="6"/>
      <c r="UJ208" s="6"/>
      <c r="UK208" s="6"/>
      <c r="UL208" s="6"/>
      <c r="UM208" s="6"/>
      <c r="UN208" s="6"/>
      <c r="UO208" s="6"/>
      <c r="UP208" s="6"/>
      <c r="UQ208" s="6"/>
      <c r="UR208" s="6"/>
      <c r="US208" s="6"/>
      <c r="UT208" s="6"/>
      <c r="UU208" s="6"/>
      <c r="UV208" s="6"/>
      <c r="UW208" s="6"/>
      <c r="UX208" s="6"/>
      <c r="UY208" s="6"/>
      <c r="UZ208" s="6"/>
      <c r="VA208" s="6"/>
      <c r="VB208" s="6"/>
      <c r="VC208" s="6"/>
      <c r="VD208" s="6"/>
      <c r="VE208" s="6"/>
      <c r="VF208" s="6"/>
      <c r="VG208" s="6"/>
      <c r="VH208" s="6"/>
      <c r="VI208" s="6"/>
      <c r="VJ208" s="6"/>
      <c r="VK208" s="6"/>
      <c r="VL208" s="6"/>
      <c r="VM208" s="6"/>
      <c r="VN208" s="6"/>
      <c r="VO208" s="6"/>
      <c r="VP208" s="6"/>
      <c r="VQ208" s="6"/>
      <c r="VR208" s="6"/>
      <c r="VS208" s="6"/>
      <c r="VT208" s="6"/>
      <c r="VU208" s="6"/>
      <c r="VV208" s="6"/>
      <c r="VW208" s="6"/>
      <c r="VX208" s="6"/>
      <c r="VY208" s="6"/>
      <c r="VZ208" s="6"/>
      <c r="WA208" s="6"/>
      <c r="WB208" s="6"/>
      <c r="WC208" s="6"/>
      <c r="WD208" s="6"/>
      <c r="WE208" s="6"/>
      <c r="WF208" s="6"/>
      <c r="WG208" s="6"/>
      <c r="WH208" s="6"/>
      <c r="WI208" s="6"/>
      <c r="WJ208" s="6"/>
      <c r="WK208" s="6"/>
      <c r="WL208" s="6"/>
      <c r="WM208" s="6"/>
      <c r="WN208" s="6"/>
      <c r="WO208" s="6"/>
      <c r="WP208" s="6"/>
      <c r="WQ208" s="6"/>
      <c r="WR208" s="6"/>
      <c r="WS208" s="6"/>
      <c r="WT208" s="6"/>
      <c r="WU208" s="6"/>
      <c r="WV208" s="6"/>
      <c r="WW208" s="6"/>
      <c r="WX208" s="6"/>
      <c r="WY208" s="6"/>
      <c r="WZ208" s="6"/>
      <c r="XA208" s="6"/>
      <c r="XB208" s="6"/>
      <c r="XC208" s="6"/>
      <c r="XD208" s="6"/>
      <c r="XE208" s="6"/>
      <c r="XF208" s="6"/>
      <c r="XG208" s="6"/>
      <c r="XH208" s="6"/>
      <c r="XI208" s="6"/>
      <c r="XJ208" s="6"/>
      <c r="XK208" s="6"/>
      <c r="XL208" s="6"/>
      <c r="XM208" s="6"/>
      <c r="XN208" s="6"/>
      <c r="XO208" s="6"/>
      <c r="XP208" s="6"/>
      <c r="XQ208" s="6"/>
      <c r="XR208" s="6"/>
      <c r="XS208" s="6"/>
      <c r="XT208" s="6"/>
      <c r="XU208" s="6"/>
      <c r="XV208" s="6"/>
      <c r="XW208" s="6"/>
      <c r="XX208" s="6"/>
      <c r="XY208" s="6"/>
      <c r="XZ208" s="6"/>
      <c r="YA208" s="6"/>
      <c r="YB208" s="6"/>
      <c r="YC208" s="6"/>
      <c r="YD208" s="6"/>
      <c r="YE208" s="6"/>
      <c r="YF208" s="6"/>
      <c r="YG208" s="6"/>
      <c r="YH208" s="6"/>
      <c r="YI208" s="6"/>
      <c r="YJ208" s="6"/>
      <c r="YK208" s="6"/>
      <c r="YL208" s="6"/>
      <c r="YM208" s="6"/>
      <c r="YN208" s="6"/>
      <c r="YO208" s="6"/>
      <c r="YP208" s="6"/>
      <c r="YQ208" s="6"/>
      <c r="YR208" s="6"/>
      <c r="YS208" s="6"/>
      <c r="YT208" s="6"/>
      <c r="YU208" s="6"/>
      <c r="YV208" s="6"/>
      <c r="YW208" s="6"/>
      <c r="YX208" s="6"/>
      <c r="YY208" s="6"/>
      <c r="YZ208" s="6"/>
      <c r="ZA208" s="6"/>
      <c r="ZB208" s="6"/>
      <c r="ZC208" s="6"/>
      <c r="ZD208" s="6"/>
      <c r="ZE208" s="6"/>
      <c r="ZF208" s="6"/>
      <c r="ZG208" s="6"/>
      <c r="ZH208" s="6"/>
      <c r="ZI208" s="6"/>
      <c r="ZJ208" s="6"/>
      <c r="ZK208" s="6"/>
      <c r="ZL208" s="6"/>
      <c r="ZM208" s="6"/>
      <c r="ZN208" s="6"/>
      <c r="ZO208" s="6"/>
      <c r="ZP208" s="6"/>
      <c r="ZQ208" s="6"/>
      <c r="ZR208" s="6"/>
      <c r="ZS208" s="6"/>
      <c r="ZT208" s="6"/>
      <c r="ZU208" s="6"/>
      <c r="ZV208" s="6"/>
      <c r="ZW208" s="6"/>
      <c r="ZX208" s="6"/>
      <c r="ZY208" s="6"/>
      <c r="ZZ208" s="6"/>
      <c r="AAA208" s="6"/>
      <c r="AAB208" s="6"/>
      <c r="AAC208" s="6"/>
      <c r="AAD208" s="6"/>
      <c r="AAE208" s="6"/>
      <c r="AAF208" s="6"/>
      <c r="AAG208" s="6"/>
      <c r="AAH208" s="6"/>
      <c r="AAI208" s="6"/>
      <c r="AAJ208" s="6"/>
      <c r="AAK208" s="6"/>
      <c r="AAL208" s="6"/>
      <c r="AAM208" s="6"/>
      <c r="AAN208" s="6"/>
      <c r="AAO208" s="6"/>
      <c r="AAP208" s="6"/>
      <c r="AAQ208" s="6"/>
      <c r="AAR208" s="6"/>
      <c r="AAS208" s="6"/>
      <c r="AAT208" s="6"/>
      <c r="AAU208" s="6"/>
      <c r="AAV208" s="6"/>
      <c r="AAW208" s="6"/>
      <c r="AAX208" s="6"/>
      <c r="AAY208" s="6"/>
      <c r="AAZ208" s="6"/>
      <c r="ABA208" s="6"/>
      <c r="ABB208" s="6"/>
      <c r="ABC208" s="6"/>
      <c r="ABD208" s="6"/>
      <c r="ABE208" s="6"/>
      <c r="ABF208" s="6"/>
      <c r="ABG208" s="6"/>
      <c r="ABH208" s="6"/>
      <c r="ABI208" s="6"/>
      <c r="ABJ208" s="6"/>
      <c r="ABK208" s="6"/>
      <c r="ABL208" s="6"/>
      <c r="ABM208" s="6"/>
      <c r="ABN208" s="6"/>
      <c r="ABO208" s="6"/>
      <c r="ABP208" s="6"/>
      <c r="ABQ208" s="6"/>
      <c r="ABR208" s="6"/>
      <c r="ABS208" s="6"/>
      <c r="ABT208" s="6"/>
      <c r="ABU208" s="6"/>
      <c r="ABV208" s="6"/>
      <c r="ABW208" s="6"/>
      <c r="ABX208" s="6"/>
      <c r="ABY208" s="6"/>
      <c r="ABZ208" s="6"/>
      <c r="ACA208" s="6"/>
      <c r="ACB208" s="6"/>
      <c r="ACC208" s="6"/>
      <c r="ACD208" s="6"/>
      <c r="ACE208" s="6"/>
      <c r="ACF208" s="6"/>
      <c r="ACG208" s="6"/>
      <c r="ACH208" s="6"/>
      <c r="ACI208" s="6"/>
      <c r="ACJ208" s="6"/>
      <c r="ACK208" s="6"/>
      <c r="ACL208" s="6"/>
      <c r="ACM208" s="6"/>
      <c r="ACN208" s="6"/>
      <c r="ACO208" s="6"/>
      <c r="ACP208" s="6"/>
      <c r="ACQ208" s="6"/>
      <c r="ACR208" s="6"/>
      <c r="ACS208" s="6"/>
      <c r="ACT208" s="6"/>
      <c r="ACU208" s="6"/>
      <c r="ACV208" s="6"/>
      <c r="ACW208" s="6"/>
      <c r="ACX208" s="6"/>
      <c r="ACY208" s="6"/>
      <c r="ACZ208" s="6"/>
      <c r="ADA208" s="6"/>
      <c r="ADB208" s="6"/>
      <c r="ADC208" s="6"/>
      <c r="ADD208" s="6"/>
      <c r="ADE208" s="6"/>
      <c r="ADF208" s="6"/>
      <c r="ADG208" s="6"/>
      <c r="ADH208" s="6"/>
      <c r="ADI208" s="6"/>
      <c r="ADJ208" s="6"/>
    </row>
    <row r="209" spans="1:790" s="291" customFormat="1" x14ac:dyDescent="0.3">
      <c r="A209" s="399"/>
      <c r="B209" s="558" t="s">
        <v>111</v>
      </c>
      <c r="C209" s="366"/>
      <c r="D209" s="367"/>
      <c r="E209" s="367"/>
      <c r="F209" s="362"/>
      <c r="G209" s="362"/>
      <c r="H209" s="362"/>
      <c r="I209" s="369"/>
      <c r="J209" s="362"/>
      <c r="K209" s="363"/>
      <c r="L209" s="370"/>
      <c r="M209" s="490"/>
      <c r="N209" s="489" t="str">
        <f t="shared" si="138"/>
        <v/>
      </c>
      <c r="O209" s="308"/>
      <c r="Q209" s="497"/>
      <c r="R209" s="481"/>
      <c r="S209" s="514"/>
      <c r="T209" s="515" t="str">
        <f t="shared" si="143"/>
        <v/>
      </c>
      <c r="U209" s="482" t="str">
        <f t="shared" si="144"/>
        <v/>
      </c>
      <c r="V209" s="514"/>
      <c r="W209" s="515" t="str">
        <f t="shared" si="145"/>
        <v/>
      </c>
      <c r="X209" s="507"/>
      <c r="Y209" s="507"/>
      <c r="Z209" s="478"/>
      <c r="AA209" s="471"/>
      <c r="AB209" s="471"/>
      <c r="AC209" s="471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J209" s="6"/>
      <c r="IK209" s="6"/>
      <c r="IL209" s="6"/>
      <c r="IM209" s="6"/>
      <c r="IN209" s="6"/>
      <c r="IO209" s="6"/>
      <c r="IP209" s="6"/>
      <c r="IQ209" s="6"/>
      <c r="IR209" s="6"/>
      <c r="IS209" s="6"/>
      <c r="IT209" s="6"/>
      <c r="IU209" s="6"/>
      <c r="IV209" s="6"/>
      <c r="IW209" s="6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6"/>
      <c r="KZ209" s="6"/>
      <c r="LA209" s="6"/>
      <c r="LB209" s="6"/>
      <c r="LC209" s="6"/>
      <c r="LD209" s="6"/>
      <c r="LE209" s="6"/>
      <c r="LF209" s="6"/>
      <c r="LG209" s="6"/>
      <c r="LH209" s="6"/>
      <c r="LI209" s="6"/>
      <c r="LJ209" s="6"/>
      <c r="LK209" s="6"/>
      <c r="LL209" s="6"/>
      <c r="LM209" s="6"/>
      <c r="LN209" s="6"/>
      <c r="LO209" s="6"/>
      <c r="LP209" s="6"/>
      <c r="LQ209" s="6"/>
      <c r="LR209" s="6"/>
      <c r="LS209" s="6"/>
      <c r="LT209" s="6"/>
      <c r="LU209" s="6"/>
      <c r="LV209" s="6"/>
      <c r="LW209" s="6"/>
      <c r="LX209" s="6"/>
      <c r="LY209" s="6"/>
      <c r="LZ209" s="6"/>
      <c r="MA209" s="6"/>
      <c r="MB209" s="6"/>
      <c r="MC209" s="6"/>
      <c r="MD209" s="6"/>
      <c r="ME209" s="6"/>
      <c r="MF209" s="6"/>
      <c r="MG209" s="6"/>
      <c r="MH209" s="6"/>
      <c r="MI209" s="6"/>
      <c r="MJ209" s="6"/>
      <c r="MK209" s="6"/>
      <c r="ML209" s="6"/>
      <c r="MM209" s="6"/>
      <c r="MN209" s="6"/>
      <c r="MO209" s="6"/>
      <c r="MP209" s="6"/>
      <c r="MQ209" s="6"/>
      <c r="MR209" s="6"/>
      <c r="MS209" s="6"/>
      <c r="MT209" s="6"/>
      <c r="MU209" s="6"/>
      <c r="MV209" s="6"/>
      <c r="MW209" s="6"/>
      <c r="MX209" s="6"/>
      <c r="MY209" s="6"/>
      <c r="MZ209" s="6"/>
      <c r="NA209" s="6"/>
      <c r="NB209" s="6"/>
      <c r="NC209" s="6"/>
      <c r="ND209" s="6"/>
      <c r="NE209" s="6"/>
      <c r="NF209" s="6"/>
      <c r="NG209" s="6"/>
      <c r="NH209" s="6"/>
      <c r="NI209" s="6"/>
      <c r="NJ209" s="6"/>
      <c r="NK209" s="6"/>
      <c r="NL209" s="6"/>
      <c r="NM209" s="6"/>
      <c r="NN209" s="6"/>
      <c r="NO209" s="6"/>
      <c r="NP209" s="6"/>
      <c r="NQ209" s="6"/>
      <c r="NR209" s="6"/>
      <c r="NS209" s="6"/>
      <c r="NT209" s="6"/>
      <c r="NU209" s="6"/>
      <c r="NV209" s="6"/>
      <c r="NW209" s="6"/>
      <c r="NX209" s="6"/>
      <c r="NY209" s="6"/>
      <c r="NZ209" s="6"/>
      <c r="OA209" s="6"/>
      <c r="OB209" s="6"/>
      <c r="OC209" s="6"/>
      <c r="OD209" s="6"/>
      <c r="OE209" s="6"/>
      <c r="OF209" s="6"/>
      <c r="OG209" s="6"/>
      <c r="OH209" s="6"/>
      <c r="OI209" s="6"/>
      <c r="OJ209" s="6"/>
      <c r="OK209" s="6"/>
      <c r="OL209" s="6"/>
      <c r="OM209" s="6"/>
      <c r="ON209" s="6"/>
      <c r="OO209" s="6"/>
      <c r="OP209" s="6"/>
      <c r="OQ209" s="6"/>
      <c r="OR209" s="6"/>
      <c r="OS209" s="6"/>
      <c r="OT209" s="6"/>
      <c r="OU209" s="6"/>
      <c r="OV209" s="6"/>
      <c r="OW209" s="6"/>
      <c r="OX209" s="6"/>
      <c r="OY209" s="6"/>
      <c r="OZ209" s="6"/>
      <c r="PA209" s="6"/>
      <c r="PB209" s="6"/>
      <c r="PC209" s="6"/>
      <c r="PD209" s="6"/>
      <c r="PE209" s="6"/>
      <c r="PF209" s="6"/>
      <c r="PG209" s="6"/>
      <c r="PH209" s="6"/>
      <c r="PI209" s="6"/>
      <c r="PJ209" s="6"/>
      <c r="PK209" s="6"/>
      <c r="PL209" s="6"/>
      <c r="PM209" s="6"/>
      <c r="PN209" s="6"/>
      <c r="PO209" s="6"/>
      <c r="PP209" s="6"/>
      <c r="PQ209" s="6"/>
      <c r="PR209" s="6"/>
      <c r="PS209" s="6"/>
      <c r="PT209" s="6"/>
      <c r="PU209" s="6"/>
      <c r="PV209" s="6"/>
      <c r="PW209" s="6"/>
      <c r="PX209" s="6"/>
      <c r="PY209" s="6"/>
      <c r="PZ209" s="6"/>
      <c r="QA209" s="6"/>
      <c r="QB209" s="6"/>
      <c r="QC209" s="6"/>
      <c r="QD209" s="6"/>
      <c r="QE209" s="6"/>
      <c r="QF209" s="6"/>
      <c r="QG209" s="6"/>
      <c r="QH209" s="6"/>
      <c r="QI209" s="6"/>
      <c r="QJ209" s="6"/>
      <c r="QK209" s="6"/>
      <c r="QL209" s="6"/>
      <c r="QM209" s="6"/>
      <c r="QN209" s="6"/>
      <c r="QO209" s="6"/>
      <c r="QP209" s="6"/>
      <c r="QQ209" s="6"/>
      <c r="QR209" s="6"/>
      <c r="QS209" s="6"/>
      <c r="QT209" s="6"/>
      <c r="QU209" s="6"/>
      <c r="QV209" s="6"/>
      <c r="QW209" s="6"/>
      <c r="QX209" s="6"/>
      <c r="QY209" s="6"/>
      <c r="QZ209" s="6"/>
      <c r="RA209" s="6"/>
      <c r="RB209" s="6"/>
      <c r="RC209" s="6"/>
      <c r="RD209" s="6"/>
      <c r="RE209" s="6"/>
      <c r="RF209" s="6"/>
      <c r="RG209" s="6"/>
      <c r="RH209" s="6"/>
      <c r="RI209" s="6"/>
      <c r="RJ209" s="6"/>
      <c r="RK209" s="6"/>
      <c r="RL209" s="6"/>
      <c r="RM209" s="6"/>
      <c r="RN209" s="6"/>
      <c r="RO209" s="6"/>
      <c r="RP209" s="6"/>
      <c r="RQ209" s="6"/>
      <c r="RR209" s="6"/>
      <c r="RS209" s="6"/>
      <c r="RT209" s="6"/>
      <c r="RU209" s="6"/>
      <c r="RV209" s="6"/>
      <c r="RW209" s="6"/>
      <c r="RX209" s="6"/>
      <c r="RY209" s="6"/>
      <c r="RZ209" s="6"/>
      <c r="SA209" s="6"/>
      <c r="SB209" s="6"/>
      <c r="SC209" s="6"/>
      <c r="SD209" s="6"/>
      <c r="SE209" s="6"/>
      <c r="SF209" s="6"/>
      <c r="SG209" s="6"/>
      <c r="SH209" s="6"/>
      <c r="SI209" s="6"/>
      <c r="SJ209" s="6"/>
      <c r="SK209" s="6"/>
      <c r="SL209" s="6"/>
      <c r="SM209" s="6"/>
      <c r="SN209" s="6"/>
      <c r="SO209" s="6"/>
      <c r="SP209" s="6"/>
      <c r="SQ209" s="6"/>
      <c r="SR209" s="6"/>
      <c r="SS209" s="6"/>
      <c r="ST209" s="6"/>
      <c r="SU209" s="6"/>
      <c r="SV209" s="6"/>
      <c r="SW209" s="6"/>
      <c r="SX209" s="6"/>
      <c r="SY209" s="6"/>
      <c r="SZ209" s="6"/>
      <c r="TA209" s="6"/>
      <c r="TB209" s="6"/>
      <c r="TC209" s="6"/>
      <c r="TD209" s="6"/>
      <c r="TE209" s="6"/>
      <c r="TF209" s="6"/>
      <c r="TG209" s="6"/>
      <c r="TH209" s="6"/>
      <c r="TI209" s="6"/>
      <c r="TJ209" s="6"/>
      <c r="TK209" s="6"/>
      <c r="TL209" s="6"/>
      <c r="TM209" s="6"/>
      <c r="TN209" s="6"/>
      <c r="TO209" s="6"/>
      <c r="TP209" s="6"/>
      <c r="TQ209" s="6"/>
      <c r="TR209" s="6"/>
      <c r="TS209" s="6"/>
      <c r="TT209" s="6"/>
      <c r="TU209" s="6"/>
      <c r="TV209" s="6"/>
      <c r="TW209" s="6"/>
      <c r="TX209" s="6"/>
      <c r="TY209" s="6"/>
      <c r="TZ209" s="6"/>
      <c r="UA209" s="6"/>
      <c r="UB209" s="6"/>
      <c r="UC209" s="6"/>
      <c r="UD209" s="6"/>
      <c r="UE209" s="6"/>
      <c r="UF209" s="6"/>
      <c r="UG209" s="6"/>
      <c r="UH209" s="6"/>
      <c r="UI209" s="6"/>
      <c r="UJ209" s="6"/>
      <c r="UK209" s="6"/>
      <c r="UL209" s="6"/>
      <c r="UM209" s="6"/>
      <c r="UN209" s="6"/>
      <c r="UO209" s="6"/>
      <c r="UP209" s="6"/>
      <c r="UQ209" s="6"/>
      <c r="UR209" s="6"/>
      <c r="US209" s="6"/>
      <c r="UT209" s="6"/>
      <c r="UU209" s="6"/>
      <c r="UV209" s="6"/>
      <c r="UW209" s="6"/>
      <c r="UX209" s="6"/>
      <c r="UY209" s="6"/>
      <c r="UZ209" s="6"/>
      <c r="VA209" s="6"/>
      <c r="VB209" s="6"/>
      <c r="VC209" s="6"/>
      <c r="VD209" s="6"/>
      <c r="VE209" s="6"/>
      <c r="VF209" s="6"/>
      <c r="VG209" s="6"/>
      <c r="VH209" s="6"/>
      <c r="VI209" s="6"/>
      <c r="VJ209" s="6"/>
      <c r="VK209" s="6"/>
      <c r="VL209" s="6"/>
      <c r="VM209" s="6"/>
      <c r="VN209" s="6"/>
      <c r="VO209" s="6"/>
      <c r="VP209" s="6"/>
      <c r="VQ209" s="6"/>
      <c r="VR209" s="6"/>
      <c r="VS209" s="6"/>
      <c r="VT209" s="6"/>
      <c r="VU209" s="6"/>
      <c r="VV209" s="6"/>
      <c r="VW209" s="6"/>
      <c r="VX209" s="6"/>
      <c r="VY209" s="6"/>
      <c r="VZ209" s="6"/>
      <c r="WA209" s="6"/>
      <c r="WB209" s="6"/>
      <c r="WC209" s="6"/>
      <c r="WD209" s="6"/>
      <c r="WE209" s="6"/>
      <c r="WF209" s="6"/>
      <c r="WG209" s="6"/>
      <c r="WH209" s="6"/>
      <c r="WI209" s="6"/>
      <c r="WJ209" s="6"/>
      <c r="WK209" s="6"/>
      <c r="WL209" s="6"/>
      <c r="WM209" s="6"/>
      <c r="WN209" s="6"/>
      <c r="WO209" s="6"/>
      <c r="WP209" s="6"/>
      <c r="WQ209" s="6"/>
      <c r="WR209" s="6"/>
      <c r="WS209" s="6"/>
      <c r="WT209" s="6"/>
      <c r="WU209" s="6"/>
      <c r="WV209" s="6"/>
      <c r="WW209" s="6"/>
      <c r="WX209" s="6"/>
      <c r="WY209" s="6"/>
      <c r="WZ209" s="6"/>
      <c r="XA209" s="6"/>
      <c r="XB209" s="6"/>
      <c r="XC209" s="6"/>
      <c r="XD209" s="6"/>
      <c r="XE209" s="6"/>
      <c r="XF209" s="6"/>
      <c r="XG209" s="6"/>
      <c r="XH209" s="6"/>
      <c r="XI209" s="6"/>
      <c r="XJ209" s="6"/>
      <c r="XK209" s="6"/>
      <c r="XL209" s="6"/>
      <c r="XM209" s="6"/>
      <c r="XN209" s="6"/>
      <c r="XO209" s="6"/>
      <c r="XP209" s="6"/>
      <c r="XQ209" s="6"/>
      <c r="XR209" s="6"/>
      <c r="XS209" s="6"/>
      <c r="XT209" s="6"/>
      <c r="XU209" s="6"/>
      <c r="XV209" s="6"/>
      <c r="XW209" s="6"/>
      <c r="XX209" s="6"/>
      <c r="XY209" s="6"/>
      <c r="XZ209" s="6"/>
      <c r="YA209" s="6"/>
      <c r="YB209" s="6"/>
      <c r="YC209" s="6"/>
      <c r="YD209" s="6"/>
      <c r="YE209" s="6"/>
      <c r="YF209" s="6"/>
      <c r="YG209" s="6"/>
      <c r="YH209" s="6"/>
      <c r="YI209" s="6"/>
      <c r="YJ209" s="6"/>
      <c r="YK209" s="6"/>
      <c r="YL209" s="6"/>
      <c r="YM209" s="6"/>
      <c r="YN209" s="6"/>
      <c r="YO209" s="6"/>
      <c r="YP209" s="6"/>
      <c r="YQ209" s="6"/>
      <c r="YR209" s="6"/>
      <c r="YS209" s="6"/>
      <c r="YT209" s="6"/>
      <c r="YU209" s="6"/>
      <c r="YV209" s="6"/>
      <c r="YW209" s="6"/>
      <c r="YX209" s="6"/>
      <c r="YY209" s="6"/>
      <c r="YZ209" s="6"/>
      <c r="ZA209" s="6"/>
      <c r="ZB209" s="6"/>
      <c r="ZC209" s="6"/>
      <c r="ZD209" s="6"/>
      <c r="ZE209" s="6"/>
      <c r="ZF209" s="6"/>
      <c r="ZG209" s="6"/>
      <c r="ZH209" s="6"/>
      <c r="ZI209" s="6"/>
      <c r="ZJ209" s="6"/>
      <c r="ZK209" s="6"/>
      <c r="ZL209" s="6"/>
      <c r="ZM209" s="6"/>
      <c r="ZN209" s="6"/>
      <c r="ZO209" s="6"/>
      <c r="ZP209" s="6"/>
      <c r="ZQ209" s="6"/>
      <c r="ZR209" s="6"/>
      <c r="ZS209" s="6"/>
      <c r="ZT209" s="6"/>
      <c r="ZU209" s="6"/>
      <c r="ZV209" s="6"/>
      <c r="ZW209" s="6"/>
      <c r="ZX209" s="6"/>
      <c r="ZY209" s="6"/>
      <c r="ZZ209" s="6"/>
      <c r="AAA209" s="6"/>
      <c r="AAB209" s="6"/>
      <c r="AAC209" s="6"/>
      <c r="AAD209" s="6"/>
      <c r="AAE209" s="6"/>
      <c r="AAF209" s="6"/>
      <c r="AAG209" s="6"/>
      <c r="AAH209" s="6"/>
      <c r="AAI209" s="6"/>
      <c r="AAJ209" s="6"/>
      <c r="AAK209" s="6"/>
      <c r="AAL209" s="6"/>
      <c r="AAM209" s="6"/>
      <c r="AAN209" s="6"/>
      <c r="AAO209" s="6"/>
      <c r="AAP209" s="6"/>
      <c r="AAQ209" s="6"/>
      <c r="AAR209" s="6"/>
      <c r="AAS209" s="6"/>
      <c r="AAT209" s="6"/>
      <c r="AAU209" s="6"/>
      <c r="AAV209" s="6"/>
      <c r="AAW209" s="6"/>
      <c r="AAX209" s="6"/>
      <c r="AAY209" s="6"/>
      <c r="AAZ209" s="6"/>
      <c r="ABA209" s="6"/>
      <c r="ABB209" s="6"/>
      <c r="ABC209" s="6"/>
      <c r="ABD209" s="6"/>
      <c r="ABE209" s="6"/>
      <c r="ABF209" s="6"/>
      <c r="ABG209" s="6"/>
      <c r="ABH209" s="6"/>
      <c r="ABI209" s="6"/>
      <c r="ABJ209" s="6"/>
      <c r="ABK209" s="6"/>
      <c r="ABL209" s="6"/>
      <c r="ABM209" s="6"/>
      <c r="ABN209" s="6"/>
      <c r="ABO209" s="6"/>
      <c r="ABP209" s="6"/>
      <c r="ABQ209" s="6"/>
      <c r="ABR209" s="6"/>
      <c r="ABS209" s="6"/>
      <c r="ABT209" s="6"/>
      <c r="ABU209" s="6"/>
      <c r="ABV209" s="6"/>
      <c r="ABW209" s="6"/>
      <c r="ABX209" s="6"/>
      <c r="ABY209" s="6"/>
      <c r="ABZ209" s="6"/>
      <c r="ACA209" s="6"/>
      <c r="ACB209" s="6"/>
      <c r="ACC209" s="6"/>
      <c r="ACD209" s="6"/>
      <c r="ACE209" s="6"/>
      <c r="ACF209" s="6"/>
      <c r="ACG209" s="6"/>
      <c r="ACH209" s="6"/>
      <c r="ACI209" s="6"/>
      <c r="ACJ209" s="6"/>
      <c r="ACK209" s="6"/>
      <c r="ACL209" s="6"/>
      <c r="ACM209" s="6"/>
      <c r="ACN209" s="6"/>
      <c r="ACO209" s="6"/>
      <c r="ACP209" s="6"/>
      <c r="ACQ209" s="6"/>
      <c r="ACR209" s="6"/>
      <c r="ACS209" s="6"/>
      <c r="ACT209" s="6"/>
      <c r="ACU209" s="6"/>
      <c r="ACV209" s="6"/>
      <c r="ACW209" s="6"/>
      <c r="ACX209" s="6"/>
      <c r="ACY209" s="6"/>
      <c r="ACZ209" s="6"/>
      <c r="ADA209" s="6"/>
      <c r="ADB209" s="6"/>
      <c r="ADC209" s="6"/>
      <c r="ADD209" s="6"/>
      <c r="ADE209" s="6"/>
      <c r="ADF209" s="6"/>
      <c r="ADG209" s="6"/>
      <c r="ADH209" s="6"/>
      <c r="ADI209" s="6"/>
      <c r="ADJ209" s="6"/>
    </row>
    <row r="210" spans="1:790" s="291" customFormat="1" ht="41.4" x14ac:dyDescent="0.3">
      <c r="A210" s="399"/>
      <c r="B210" s="430" t="s">
        <v>225</v>
      </c>
      <c r="C210" s="366">
        <v>1</v>
      </c>
      <c r="D210" s="367"/>
      <c r="E210" s="367"/>
      <c r="F210" s="362"/>
      <c r="G210" s="362"/>
      <c r="H210" s="362">
        <f>+PRODUCT(C210:G210)</f>
        <v>1</v>
      </c>
      <c r="I210" s="369" t="s">
        <v>30</v>
      </c>
      <c r="J210" s="362">
        <f>+PRODUCT(C210:G210)</f>
        <v>1</v>
      </c>
      <c r="K210" s="363">
        <v>34000</v>
      </c>
      <c r="L210" s="370">
        <f t="shared" ref="L210:L211" si="217">J210*K210</f>
        <v>34000</v>
      </c>
      <c r="M210" s="490">
        <f t="shared" ref="M210:M211" si="218">K210*(100%-16.5%)</f>
        <v>28390</v>
      </c>
      <c r="N210" s="489">
        <f t="shared" si="138"/>
        <v>28390</v>
      </c>
      <c r="O210" s="308"/>
      <c r="Q210" s="497"/>
      <c r="R210" s="481">
        <f t="shared" si="148"/>
        <v>1</v>
      </c>
      <c r="S210" s="514">
        <f>N210*0.15</f>
        <v>4258.5</v>
      </c>
      <c r="T210" s="515">
        <f t="shared" si="143"/>
        <v>4258.5</v>
      </c>
      <c r="U210" s="482">
        <f t="shared" si="144"/>
        <v>1</v>
      </c>
      <c r="V210" s="524"/>
      <c r="W210" s="515" t="str">
        <f t="shared" si="145"/>
        <v/>
      </c>
      <c r="X210" s="507">
        <f t="shared" ref="X210:X213" si="219">V210+S210</f>
        <v>4258.5</v>
      </c>
      <c r="Y210" s="520">
        <f t="shared" ref="Y210:Y213" si="220">M210-X210</f>
        <v>24131.5</v>
      </c>
      <c r="Z210" s="521">
        <f t="shared" ref="Z210:Z213" si="221">Y210/M210</f>
        <v>0.85</v>
      </c>
      <c r="AA210" s="471"/>
      <c r="AB210" s="471"/>
      <c r="AC210" s="471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J210" s="6"/>
      <c r="IK210" s="6"/>
      <c r="IL210" s="6"/>
      <c r="IM210" s="6"/>
      <c r="IN210" s="6"/>
      <c r="IO210" s="6"/>
      <c r="IP210" s="6"/>
      <c r="IQ210" s="6"/>
      <c r="IR210" s="6"/>
      <c r="IS210" s="6"/>
      <c r="IT210" s="6"/>
      <c r="IU210" s="6"/>
      <c r="IV210" s="6"/>
      <c r="IW210" s="6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6"/>
      <c r="KZ210" s="6"/>
      <c r="LA210" s="6"/>
      <c r="LB210" s="6"/>
      <c r="LC210" s="6"/>
      <c r="LD210" s="6"/>
      <c r="LE210" s="6"/>
      <c r="LF210" s="6"/>
      <c r="LG210" s="6"/>
      <c r="LH210" s="6"/>
      <c r="LI210" s="6"/>
      <c r="LJ210" s="6"/>
      <c r="LK210" s="6"/>
      <c r="LL210" s="6"/>
      <c r="LM210" s="6"/>
      <c r="LN210" s="6"/>
      <c r="LO210" s="6"/>
      <c r="LP210" s="6"/>
      <c r="LQ210" s="6"/>
      <c r="LR210" s="6"/>
      <c r="LS210" s="6"/>
      <c r="LT210" s="6"/>
      <c r="LU210" s="6"/>
      <c r="LV210" s="6"/>
      <c r="LW210" s="6"/>
      <c r="LX210" s="6"/>
      <c r="LY210" s="6"/>
      <c r="LZ210" s="6"/>
      <c r="MA210" s="6"/>
      <c r="MB210" s="6"/>
      <c r="MC210" s="6"/>
      <c r="MD210" s="6"/>
      <c r="ME210" s="6"/>
      <c r="MF210" s="6"/>
      <c r="MG210" s="6"/>
      <c r="MH210" s="6"/>
      <c r="MI210" s="6"/>
      <c r="MJ210" s="6"/>
      <c r="MK210" s="6"/>
      <c r="ML210" s="6"/>
      <c r="MM210" s="6"/>
      <c r="MN210" s="6"/>
      <c r="MO210" s="6"/>
      <c r="MP210" s="6"/>
      <c r="MQ210" s="6"/>
      <c r="MR210" s="6"/>
      <c r="MS210" s="6"/>
      <c r="MT210" s="6"/>
      <c r="MU210" s="6"/>
      <c r="MV210" s="6"/>
      <c r="MW210" s="6"/>
      <c r="MX210" s="6"/>
      <c r="MY210" s="6"/>
      <c r="MZ210" s="6"/>
      <c r="NA210" s="6"/>
      <c r="NB210" s="6"/>
      <c r="NC210" s="6"/>
      <c r="ND210" s="6"/>
      <c r="NE210" s="6"/>
      <c r="NF210" s="6"/>
      <c r="NG210" s="6"/>
      <c r="NH210" s="6"/>
      <c r="NI210" s="6"/>
      <c r="NJ210" s="6"/>
      <c r="NK210" s="6"/>
      <c r="NL210" s="6"/>
      <c r="NM210" s="6"/>
      <c r="NN210" s="6"/>
      <c r="NO210" s="6"/>
      <c r="NP210" s="6"/>
      <c r="NQ210" s="6"/>
      <c r="NR210" s="6"/>
      <c r="NS210" s="6"/>
      <c r="NT210" s="6"/>
      <c r="NU210" s="6"/>
      <c r="NV210" s="6"/>
      <c r="NW210" s="6"/>
      <c r="NX210" s="6"/>
      <c r="NY210" s="6"/>
      <c r="NZ210" s="6"/>
      <c r="OA210" s="6"/>
      <c r="OB210" s="6"/>
      <c r="OC210" s="6"/>
      <c r="OD210" s="6"/>
      <c r="OE210" s="6"/>
      <c r="OF210" s="6"/>
      <c r="OG210" s="6"/>
      <c r="OH210" s="6"/>
      <c r="OI210" s="6"/>
      <c r="OJ210" s="6"/>
      <c r="OK210" s="6"/>
      <c r="OL210" s="6"/>
      <c r="OM210" s="6"/>
      <c r="ON210" s="6"/>
      <c r="OO210" s="6"/>
      <c r="OP210" s="6"/>
      <c r="OQ210" s="6"/>
      <c r="OR210" s="6"/>
      <c r="OS210" s="6"/>
      <c r="OT210" s="6"/>
      <c r="OU210" s="6"/>
      <c r="OV210" s="6"/>
      <c r="OW210" s="6"/>
      <c r="OX210" s="6"/>
      <c r="OY210" s="6"/>
      <c r="OZ210" s="6"/>
      <c r="PA210" s="6"/>
      <c r="PB210" s="6"/>
      <c r="PC210" s="6"/>
      <c r="PD210" s="6"/>
      <c r="PE210" s="6"/>
      <c r="PF210" s="6"/>
      <c r="PG210" s="6"/>
      <c r="PH210" s="6"/>
      <c r="PI210" s="6"/>
      <c r="PJ210" s="6"/>
      <c r="PK210" s="6"/>
      <c r="PL210" s="6"/>
      <c r="PM210" s="6"/>
      <c r="PN210" s="6"/>
      <c r="PO210" s="6"/>
      <c r="PP210" s="6"/>
      <c r="PQ210" s="6"/>
      <c r="PR210" s="6"/>
      <c r="PS210" s="6"/>
      <c r="PT210" s="6"/>
      <c r="PU210" s="6"/>
      <c r="PV210" s="6"/>
      <c r="PW210" s="6"/>
      <c r="PX210" s="6"/>
      <c r="PY210" s="6"/>
      <c r="PZ210" s="6"/>
      <c r="QA210" s="6"/>
      <c r="QB210" s="6"/>
      <c r="QC210" s="6"/>
      <c r="QD210" s="6"/>
      <c r="QE210" s="6"/>
      <c r="QF210" s="6"/>
      <c r="QG210" s="6"/>
      <c r="QH210" s="6"/>
      <c r="QI210" s="6"/>
      <c r="QJ210" s="6"/>
      <c r="QK210" s="6"/>
      <c r="QL210" s="6"/>
      <c r="QM210" s="6"/>
      <c r="QN210" s="6"/>
      <c r="QO210" s="6"/>
      <c r="QP210" s="6"/>
      <c r="QQ210" s="6"/>
      <c r="QR210" s="6"/>
      <c r="QS210" s="6"/>
      <c r="QT210" s="6"/>
      <c r="QU210" s="6"/>
      <c r="QV210" s="6"/>
      <c r="QW210" s="6"/>
      <c r="QX210" s="6"/>
      <c r="QY210" s="6"/>
      <c r="QZ210" s="6"/>
      <c r="RA210" s="6"/>
      <c r="RB210" s="6"/>
      <c r="RC210" s="6"/>
      <c r="RD210" s="6"/>
      <c r="RE210" s="6"/>
      <c r="RF210" s="6"/>
      <c r="RG210" s="6"/>
      <c r="RH210" s="6"/>
      <c r="RI210" s="6"/>
      <c r="RJ210" s="6"/>
      <c r="RK210" s="6"/>
      <c r="RL210" s="6"/>
      <c r="RM210" s="6"/>
      <c r="RN210" s="6"/>
      <c r="RO210" s="6"/>
      <c r="RP210" s="6"/>
      <c r="RQ210" s="6"/>
      <c r="RR210" s="6"/>
      <c r="RS210" s="6"/>
      <c r="RT210" s="6"/>
      <c r="RU210" s="6"/>
      <c r="RV210" s="6"/>
      <c r="RW210" s="6"/>
      <c r="RX210" s="6"/>
      <c r="RY210" s="6"/>
      <c r="RZ210" s="6"/>
      <c r="SA210" s="6"/>
      <c r="SB210" s="6"/>
      <c r="SC210" s="6"/>
      <c r="SD210" s="6"/>
      <c r="SE210" s="6"/>
      <c r="SF210" s="6"/>
      <c r="SG210" s="6"/>
      <c r="SH210" s="6"/>
      <c r="SI210" s="6"/>
      <c r="SJ210" s="6"/>
      <c r="SK210" s="6"/>
      <c r="SL210" s="6"/>
      <c r="SM210" s="6"/>
      <c r="SN210" s="6"/>
      <c r="SO210" s="6"/>
      <c r="SP210" s="6"/>
      <c r="SQ210" s="6"/>
      <c r="SR210" s="6"/>
      <c r="SS210" s="6"/>
      <c r="ST210" s="6"/>
      <c r="SU210" s="6"/>
      <c r="SV210" s="6"/>
      <c r="SW210" s="6"/>
      <c r="SX210" s="6"/>
      <c r="SY210" s="6"/>
      <c r="SZ210" s="6"/>
      <c r="TA210" s="6"/>
      <c r="TB210" s="6"/>
      <c r="TC210" s="6"/>
      <c r="TD210" s="6"/>
      <c r="TE210" s="6"/>
      <c r="TF210" s="6"/>
      <c r="TG210" s="6"/>
      <c r="TH210" s="6"/>
      <c r="TI210" s="6"/>
      <c r="TJ210" s="6"/>
      <c r="TK210" s="6"/>
      <c r="TL210" s="6"/>
      <c r="TM210" s="6"/>
      <c r="TN210" s="6"/>
      <c r="TO210" s="6"/>
      <c r="TP210" s="6"/>
      <c r="TQ210" s="6"/>
      <c r="TR210" s="6"/>
      <c r="TS210" s="6"/>
      <c r="TT210" s="6"/>
      <c r="TU210" s="6"/>
      <c r="TV210" s="6"/>
      <c r="TW210" s="6"/>
      <c r="TX210" s="6"/>
      <c r="TY210" s="6"/>
      <c r="TZ210" s="6"/>
      <c r="UA210" s="6"/>
      <c r="UB210" s="6"/>
      <c r="UC210" s="6"/>
      <c r="UD210" s="6"/>
      <c r="UE210" s="6"/>
      <c r="UF210" s="6"/>
      <c r="UG210" s="6"/>
      <c r="UH210" s="6"/>
      <c r="UI210" s="6"/>
      <c r="UJ210" s="6"/>
      <c r="UK210" s="6"/>
      <c r="UL210" s="6"/>
      <c r="UM210" s="6"/>
      <c r="UN210" s="6"/>
      <c r="UO210" s="6"/>
      <c r="UP210" s="6"/>
      <c r="UQ210" s="6"/>
      <c r="UR210" s="6"/>
      <c r="US210" s="6"/>
      <c r="UT210" s="6"/>
      <c r="UU210" s="6"/>
      <c r="UV210" s="6"/>
      <c r="UW210" s="6"/>
      <c r="UX210" s="6"/>
      <c r="UY210" s="6"/>
      <c r="UZ210" s="6"/>
      <c r="VA210" s="6"/>
      <c r="VB210" s="6"/>
      <c r="VC210" s="6"/>
      <c r="VD210" s="6"/>
      <c r="VE210" s="6"/>
      <c r="VF210" s="6"/>
      <c r="VG210" s="6"/>
      <c r="VH210" s="6"/>
      <c r="VI210" s="6"/>
      <c r="VJ210" s="6"/>
      <c r="VK210" s="6"/>
      <c r="VL210" s="6"/>
      <c r="VM210" s="6"/>
      <c r="VN210" s="6"/>
      <c r="VO210" s="6"/>
      <c r="VP210" s="6"/>
      <c r="VQ210" s="6"/>
      <c r="VR210" s="6"/>
      <c r="VS210" s="6"/>
      <c r="VT210" s="6"/>
      <c r="VU210" s="6"/>
      <c r="VV210" s="6"/>
      <c r="VW210" s="6"/>
      <c r="VX210" s="6"/>
      <c r="VY210" s="6"/>
      <c r="VZ210" s="6"/>
      <c r="WA210" s="6"/>
      <c r="WB210" s="6"/>
      <c r="WC210" s="6"/>
      <c r="WD210" s="6"/>
      <c r="WE210" s="6"/>
      <c r="WF210" s="6"/>
      <c r="WG210" s="6"/>
      <c r="WH210" s="6"/>
      <c r="WI210" s="6"/>
      <c r="WJ210" s="6"/>
      <c r="WK210" s="6"/>
      <c r="WL210" s="6"/>
      <c r="WM210" s="6"/>
      <c r="WN210" s="6"/>
      <c r="WO210" s="6"/>
      <c r="WP210" s="6"/>
      <c r="WQ210" s="6"/>
      <c r="WR210" s="6"/>
      <c r="WS210" s="6"/>
      <c r="WT210" s="6"/>
      <c r="WU210" s="6"/>
      <c r="WV210" s="6"/>
      <c r="WW210" s="6"/>
      <c r="WX210" s="6"/>
      <c r="WY210" s="6"/>
      <c r="WZ210" s="6"/>
      <c r="XA210" s="6"/>
      <c r="XB210" s="6"/>
      <c r="XC210" s="6"/>
      <c r="XD210" s="6"/>
      <c r="XE210" s="6"/>
      <c r="XF210" s="6"/>
      <c r="XG210" s="6"/>
      <c r="XH210" s="6"/>
      <c r="XI210" s="6"/>
      <c r="XJ210" s="6"/>
      <c r="XK210" s="6"/>
      <c r="XL210" s="6"/>
      <c r="XM210" s="6"/>
      <c r="XN210" s="6"/>
      <c r="XO210" s="6"/>
      <c r="XP210" s="6"/>
      <c r="XQ210" s="6"/>
      <c r="XR210" s="6"/>
      <c r="XS210" s="6"/>
      <c r="XT210" s="6"/>
      <c r="XU210" s="6"/>
      <c r="XV210" s="6"/>
      <c r="XW210" s="6"/>
      <c r="XX210" s="6"/>
      <c r="XY210" s="6"/>
      <c r="XZ210" s="6"/>
      <c r="YA210" s="6"/>
      <c r="YB210" s="6"/>
      <c r="YC210" s="6"/>
      <c r="YD210" s="6"/>
      <c r="YE210" s="6"/>
      <c r="YF210" s="6"/>
      <c r="YG210" s="6"/>
      <c r="YH210" s="6"/>
      <c r="YI210" s="6"/>
      <c r="YJ210" s="6"/>
      <c r="YK210" s="6"/>
      <c r="YL210" s="6"/>
      <c r="YM210" s="6"/>
      <c r="YN210" s="6"/>
      <c r="YO210" s="6"/>
      <c r="YP210" s="6"/>
      <c r="YQ210" s="6"/>
      <c r="YR210" s="6"/>
      <c r="YS210" s="6"/>
      <c r="YT210" s="6"/>
      <c r="YU210" s="6"/>
      <c r="YV210" s="6"/>
      <c r="YW210" s="6"/>
      <c r="YX210" s="6"/>
      <c r="YY210" s="6"/>
      <c r="YZ210" s="6"/>
      <c r="ZA210" s="6"/>
      <c r="ZB210" s="6"/>
      <c r="ZC210" s="6"/>
      <c r="ZD210" s="6"/>
      <c r="ZE210" s="6"/>
      <c r="ZF210" s="6"/>
      <c r="ZG210" s="6"/>
      <c r="ZH210" s="6"/>
      <c r="ZI210" s="6"/>
      <c r="ZJ210" s="6"/>
      <c r="ZK210" s="6"/>
      <c r="ZL210" s="6"/>
      <c r="ZM210" s="6"/>
      <c r="ZN210" s="6"/>
      <c r="ZO210" s="6"/>
      <c r="ZP210" s="6"/>
      <c r="ZQ210" s="6"/>
      <c r="ZR210" s="6"/>
      <c r="ZS210" s="6"/>
      <c r="ZT210" s="6"/>
      <c r="ZU210" s="6"/>
      <c r="ZV210" s="6"/>
      <c r="ZW210" s="6"/>
      <c r="ZX210" s="6"/>
      <c r="ZY210" s="6"/>
      <c r="ZZ210" s="6"/>
      <c r="AAA210" s="6"/>
      <c r="AAB210" s="6"/>
      <c r="AAC210" s="6"/>
      <c r="AAD210" s="6"/>
      <c r="AAE210" s="6"/>
      <c r="AAF210" s="6"/>
      <c r="AAG210" s="6"/>
      <c r="AAH210" s="6"/>
      <c r="AAI210" s="6"/>
      <c r="AAJ210" s="6"/>
      <c r="AAK210" s="6"/>
      <c r="AAL210" s="6"/>
      <c r="AAM210" s="6"/>
      <c r="AAN210" s="6"/>
      <c r="AAO210" s="6"/>
      <c r="AAP210" s="6"/>
      <c r="AAQ210" s="6"/>
      <c r="AAR210" s="6"/>
      <c r="AAS210" s="6"/>
      <c r="AAT210" s="6"/>
      <c r="AAU210" s="6"/>
      <c r="AAV210" s="6"/>
      <c r="AAW210" s="6"/>
      <c r="AAX210" s="6"/>
      <c r="AAY210" s="6"/>
      <c r="AAZ210" s="6"/>
      <c r="ABA210" s="6"/>
      <c r="ABB210" s="6"/>
      <c r="ABC210" s="6"/>
      <c r="ABD210" s="6"/>
      <c r="ABE210" s="6"/>
      <c r="ABF210" s="6"/>
      <c r="ABG210" s="6"/>
      <c r="ABH210" s="6"/>
      <c r="ABI210" s="6"/>
      <c r="ABJ210" s="6"/>
      <c r="ABK210" s="6"/>
      <c r="ABL210" s="6"/>
      <c r="ABM210" s="6"/>
      <c r="ABN210" s="6"/>
      <c r="ABO210" s="6"/>
      <c r="ABP210" s="6"/>
      <c r="ABQ210" s="6"/>
      <c r="ABR210" s="6"/>
      <c r="ABS210" s="6"/>
      <c r="ABT210" s="6"/>
      <c r="ABU210" s="6"/>
      <c r="ABV210" s="6"/>
      <c r="ABW210" s="6"/>
      <c r="ABX210" s="6"/>
      <c r="ABY210" s="6"/>
      <c r="ABZ210" s="6"/>
      <c r="ACA210" s="6"/>
      <c r="ACB210" s="6"/>
      <c r="ACC210" s="6"/>
      <c r="ACD210" s="6"/>
      <c r="ACE210" s="6"/>
      <c r="ACF210" s="6"/>
      <c r="ACG210" s="6"/>
      <c r="ACH210" s="6"/>
      <c r="ACI210" s="6"/>
      <c r="ACJ210" s="6"/>
      <c r="ACK210" s="6"/>
      <c r="ACL210" s="6"/>
      <c r="ACM210" s="6"/>
      <c r="ACN210" s="6"/>
      <c r="ACO210" s="6"/>
      <c r="ACP210" s="6"/>
      <c r="ACQ210" s="6"/>
      <c r="ACR210" s="6"/>
      <c r="ACS210" s="6"/>
      <c r="ACT210" s="6"/>
      <c r="ACU210" s="6"/>
      <c r="ACV210" s="6"/>
      <c r="ACW210" s="6"/>
      <c r="ACX210" s="6"/>
      <c r="ACY210" s="6"/>
      <c r="ACZ210" s="6"/>
      <c r="ADA210" s="6"/>
      <c r="ADB210" s="6"/>
      <c r="ADC210" s="6"/>
      <c r="ADD210" s="6"/>
      <c r="ADE210" s="6"/>
      <c r="ADF210" s="6"/>
      <c r="ADG210" s="6"/>
      <c r="ADH210" s="6"/>
      <c r="ADI210" s="6"/>
      <c r="ADJ210" s="6"/>
    </row>
    <row r="211" spans="1:790" s="291" customFormat="1" ht="27.6" x14ac:dyDescent="0.3">
      <c r="A211" s="399"/>
      <c r="B211" s="430" t="s">
        <v>126</v>
      </c>
      <c r="C211" s="366">
        <v>1</v>
      </c>
      <c r="D211" s="367"/>
      <c r="E211" s="367"/>
      <c r="F211" s="362"/>
      <c r="G211" s="362"/>
      <c r="H211" s="362">
        <f>+PRODUCT(C211:G211)</f>
        <v>1</v>
      </c>
      <c r="I211" s="369" t="s">
        <v>30</v>
      </c>
      <c r="J211" s="362">
        <f>+PRODUCT(C211:G211)</f>
        <v>1</v>
      </c>
      <c r="K211" s="432">
        <v>36000</v>
      </c>
      <c r="L211" s="370">
        <f t="shared" si="217"/>
        <v>36000</v>
      </c>
      <c r="M211" s="490">
        <f t="shared" si="218"/>
        <v>30060</v>
      </c>
      <c r="N211" s="489">
        <f t="shared" si="138"/>
        <v>30060</v>
      </c>
      <c r="O211" s="433" t="s">
        <v>210</v>
      </c>
      <c r="Q211" s="497" t="s">
        <v>210</v>
      </c>
      <c r="R211" s="481">
        <f t="shared" si="148"/>
        <v>1</v>
      </c>
      <c r="S211" s="514"/>
      <c r="T211" s="515" t="str">
        <f t="shared" si="143"/>
        <v/>
      </c>
      <c r="U211" s="482">
        <f t="shared" si="144"/>
        <v>1</v>
      </c>
      <c r="V211" s="524"/>
      <c r="W211" s="515" t="str">
        <f t="shared" si="145"/>
        <v/>
      </c>
      <c r="X211" s="507">
        <f t="shared" si="219"/>
        <v>0</v>
      </c>
      <c r="Y211" s="520">
        <f t="shared" si="220"/>
        <v>30060</v>
      </c>
      <c r="Z211" s="521">
        <f t="shared" si="221"/>
        <v>1</v>
      </c>
      <c r="AA211" s="471"/>
      <c r="AB211" s="471"/>
      <c r="AC211" s="471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J211" s="6"/>
      <c r="IK211" s="6"/>
      <c r="IL211" s="6"/>
      <c r="IM211" s="6"/>
      <c r="IN211" s="6"/>
      <c r="IO211" s="6"/>
      <c r="IP211" s="6"/>
      <c r="IQ211" s="6"/>
      <c r="IR211" s="6"/>
      <c r="IS211" s="6"/>
      <c r="IT211" s="6"/>
      <c r="IU211" s="6"/>
      <c r="IV211" s="6"/>
      <c r="IW211" s="6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6"/>
      <c r="KZ211" s="6"/>
      <c r="LA211" s="6"/>
      <c r="LB211" s="6"/>
      <c r="LC211" s="6"/>
      <c r="LD211" s="6"/>
      <c r="LE211" s="6"/>
      <c r="LF211" s="6"/>
      <c r="LG211" s="6"/>
      <c r="LH211" s="6"/>
      <c r="LI211" s="6"/>
      <c r="LJ211" s="6"/>
      <c r="LK211" s="6"/>
      <c r="LL211" s="6"/>
      <c r="LM211" s="6"/>
      <c r="LN211" s="6"/>
      <c r="LO211" s="6"/>
      <c r="LP211" s="6"/>
      <c r="LQ211" s="6"/>
      <c r="LR211" s="6"/>
      <c r="LS211" s="6"/>
      <c r="LT211" s="6"/>
      <c r="LU211" s="6"/>
      <c r="LV211" s="6"/>
      <c r="LW211" s="6"/>
      <c r="LX211" s="6"/>
      <c r="LY211" s="6"/>
      <c r="LZ211" s="6"/>
      <c r="MA211" s="6"/>
      <c r="MB211" s="6"/>
      <c r="MC211" s="6"/>
      <c r="MD211" s="6"/>
      <c r="ME211" s="6"/>
      <c r="MF211" s="6"/>
      <c r="MG211" s="6"/>
      <c r="MH211" s="6"/>
      <c r="MI211" s="6"/>
      <c r="MJ211" s="6"/>
      <c r="MK211" s="6"/>
      <c r="ML211" s="6"/>
      <c r="MM211" s="6"/>
      <c r="MN211" s="6"/>
      <c r="MO211" s="6"/>
      <c r="MP211" s="6"/>
      <c r="MQ211" s="6"/>
      <c r="MR211" s="6"/>
      <c r="MS211" s="6"/>
      <c r="MT211" s="6"/>
      <c r="MU211" s="6"/>
      <c r="MV211" s="6"/>
      <c r="MW211" s="6"/>
      <c r="MX211" s="6"/>
      <c r="MY211" s="6"/>
      <c r="MZ211" s="6"/>
      <c r="NA211" s="6"/>
      <c r="NB211" s="6"/>
      <c r="NC211" s="6"/>
      <c r="ND211" s="6"/>
      <c r="NE211" s="6"/>
      <c r="NF211" s="6"/>
      <c r="NG211" s="6"/>
      <c r="NH211" s="6"/>
      <c r="NI211" s="6"/>
      <c r="NJ211" s="6"/>
      <c r="NK211" s="6"/>
      <c r="NL211" s="6"/>
      <c r="NM211" s="6"/>
      <c r="NN211" s="6"/>
      <c r="NO211" s="6"/>
      <c r="NP211" s="6"/>
      <c r="NQ211" s="6"/>
      <c r="NR211" s="6"/>
      <c r="NS211" s="6"/>
      <c r="NT211" s="6"/>
      <c r="NU211" s="6"/>
      <c r="NV211" s="6"/>
      <c r="NW211" s="6"/>
      <c r="NX211" s="6"/>
      <c r="NY211" s="6"/>
      <c r="NZ211" s="6"/>
      <c r="OA211" s="6"/>
      <c r="OB211" s="6"/>
      <c r="OC211" s="6"/>
      <c r="OD211" s="6"/>
      <c r="OE211" s="6"/>
      <c r="OF211" s="6"/>
      <c r="OG211" s="6"/>
      <c r="OH211" s="6"/>
      <c r="OI211" s="6"/>
      <c r="OJ211" s="6"/>
      <c r="OK211" s="6"/>
      <c r="OL211" s="6"/>
      <c r="OM211" s="6"/>
      <c r="ON211" s="6"/>
      <c r="OO211" s="6"/>
      <c r="OP211" s="6"/>
      <c r="OQ211" s="6"/>
      <c r="OR211" s="6"/>
      <c r="OS211" s="6"/>
      <c r="OT211" s="6"/>
      <c r="OU211" s="6"/>
      <c r="OV211" s="6"/>
      <c r="OW211" s="6"/>
      <c r="OX211" s="6"/>
      <c r="OY211" s="6"/>
      <c r="OZ211" s="6"/>
      <c r="PA211" s="6"/>
      <c r="PB211" s="6"/>
      <c r="PC211" s="6"/>
      <c r="PD211" s="6"/>
      <c r="PE211" s="6"/>
      <c r="PF211" s="6"/>
      <c r="PG211" s="6"/>
      <c r="PH211" s="6"/>
      <c r="PI211" s="6"/>
      <c r="PJ211" s="6"/>
      <c r="PK211" s="6"/>
      <c r="PL211" s="6"/>
      <c r="PM211" s="6"/>
      <c r="PN211" s="6"/>
      <c r="PO211" s="6"/>
      <c r="PP211" s="6"/>
      <c r="PQ211" s="6"/>
      <c r="PR211" s="6"/>
      <c r="PS211" s="6"/>
      <c r="PT211" s="6"/>
      <c r="PU211" s="6"/>
      <c r="PV211" s="6"/>
      <c r="PW211" s="6"/>
      <c r="PX211" s="6"/>
      <c r="PY211" s="6"/>
      <c r="PZ211" s="6"/>
      <c r="QA211" s="6"/>
      <c r="QB211" s="6"/>
      <c r="QC211" s="6"/>
      <c r="QD211" s="6"/>
      <c r="QE211" s="6"/>
      <c r="QF211" s="6"/>
      <c r="QG211" s="6"/>
      <c r="QH211" s="6"/>
      <c r="QI211" s="6"/>
      <c r="QJ211" s="6"/>
      <c r="QK211" s="6"/>
      <c r="QL211" s="6"/>
      <c r="QM211" s="6"/>
      <c r="QN211" s="6"/>
      <c r="QO211" s="6"/>
      <c r="QP211" s="6"/>
      <c r="QQ211" s="6"/>
      <c r="QR211" s="6"/>
      <c r="QS211" s="6"/>
      <c r="QT211" s="6"/>
      <c r="QU211" s="6"/>
      <c r="QV211" s="6"/>
      <c r="QW211" s="6"/>
      <c r="QX211" s="6"/>
      <c r="QY211" s="6"/>
      <c r="QZ211" s="6"/>
      <c r="RA211" s="6"/>
      <c r="RB211" s="6"/>
      <c r="RC211" s="6"/>
      <c r="RD211" s="6"/>
      <c r="RE211" s="6"/>
      <c r="RF211" s="6"/>
      <c r="RG211" s="6"/>
      <c r="RH211" s="6"/>
      <c r="RI211" s="6"/>
      <c r="RJ211" s="6"/>
      <c r="RK211" s="6"/>
      <c r="RL211" s="6"/>
      <c r="RM211" s="6"/>
      <c r="RN211" s="6"/>
      <c r="RO211" s="6"/>
      <c r="RP211" s="6"/>
      <c r="RQ211" s="6"/>
      <c r="RR211" s="6"/>
      <c r="RS211" s="6"/>
      <c r="RT211" s="6"/>
      <c r="RU211" s="6"/>
      <c r="RV211" s="6"/>
      <c r="RW211" s="6"/>
      <c r="RX211" s="6"/>
      <c r="RY211" s="6"/>
      <c r="RZ211" s="6"/>
      <c r="SA211" s="6"/>
      <c r="SB211" s="6"/>
      <c r="SC211" s="6"/>
      <c r="SD211" s="6"/>
      <c r="SE211" s="6"/>
      <c r="SF211" s="6"/>
      <c r="SG211" s="6"/>
      <c r="SH211" s="6"/>
      <c r="SI211" s="6"/>
      <c r="SJ211" s="6"/>
      <c r="SK211" s="6"/>
      <c r="SL211" s="6"/>
      <c r="SM211" s="6"/>
      <c r="SN211" s="6"/>
      <c r="SO211" s="6"/>
      <c r="SP211" s="6"/>
      <c r="SQ211" s="6"/>
      <c r="SR211" s="6"/>
      <c r="SS211" s="6"/>
      <c r="ST211" s="6"/>
      <c r="SU211" s="6"/>
      <c r="SV211" s="6"/>
      <c r="SW211" s="6"/>
      <c r="SX211" s="6"/>
      <c r="SY211" s="6"/>
      <c r="SZ211" s="6"/>
      <c r="TA211" s="6"/>
      <c r="TB211" s="6"/>
      <c r="TC211" s="6"/>
      <c r="TD211" s="6"/>
      <c r="TE211" s="6"/>
      <c r="TF211" s="6"/>
      <c r="TG211" s="6"/>
      <c r="TH211" s="6"/>
      <c r="TI211" s="6"/>
      <c r="TJ211" s="6"/>
      <c r="TK211" s="6"/>
      <c r="TL211" s="6"/>
      <c r="TM211" s="6"/>
      <c r="TN211" s="6"/>
      <c r="TO211" s="6"/>
      <c r="TP211" s="6"/>
      <c r="TQ211" s="6"/>
      <c r="TR211" s="6"/>
      <c r="TS211" s="6"/>
      <c r="TT211" s="6"/>
      <c r="TU211" s="6"/>
      <c r="TV211" s="6"/>
      <c r="TW211" s="6"/>
      <c r="TX211" s="6"/>
      <c r="TY211" s="6"/>
      <c r="TZ211" s="6"/>
      <c r="UA211" s="6"/>
      <c r="UB211" s="6"/>
      <c r="UC211" s="6"/>
      <c r="UD211" s="6"/>
      <c r="UE211" s="6"/>
      <c r="UF211" s="6"/>
      <c r="UG211" s="6"/>
      <c r="UH211" s="6"/>
      <c r="UI211" s="6"/>
      <c r="UJ211" s="6"/>
      <c r="UK211" s="6"/>
      <c r="UL211" s="6"/>
      <c r="UM211" s="6"/>
      <c r="UN211" s="6"/>
      <c r="UO211" s="6"/>
      <c r="UP211" s="6"/>
      <c r="UQ211" s="6"/>
      <c r="UR211" s="6"/>
      <c r="US211" s="6"/>
      <c r="UT211" s="6"/>
      <c r="UU211" s="6"/>
      <c r="UV211" s="6"/>
      <c r="UW211" s="6"/>
      <c r="UX211" s="6"/>
      <c r="UY211" s="6"/>
      <c r="UZ211" s="6"/>
      <c r="VA211" s="6"/>
      <c r="VB211" s="6"/>
      <c r="VC211" s="6"/>
      <c r="VD211" s="6"/>
      <c r="VE211" s="6"/>
      <c r="VF211" s="6"/>
      <c r="VG211" s="6"/>
      <c r="VH211" s="6"/>
      <c r="VI211" s="6"/>
      <c r="VJ211" s="6"/>
      <c r="VK211" s="6"/>
      <c r="VL211" s="6"/>
      <c r="VM211" s="6"/>
      <c r="VN211" s="6"/>
      <c r="VO211" s="6"/>
      <c r="VP211" s="6"/>
      <c r="VQ211" s="6"/>
      <c r="VR211" s="6"/>
      <c r="VS211" s="6"/>
      <c r="VT211" s="6"/>
      <c r="VU211" s="6"/>
      <c r="VV211" s="6"/>
      <c r="VW211" s="6"/>
      <c r="VX211" s="6"/>
      <c r="VY211" s="6"/>
      <c r="VZ211" s="6"/>
      <c r="WA211" s="6"/>
      <c r="WB211" s="6"/>
      <c r="WC211" s="6"/>
      <c r="WD211" s="6"/>
      <c r="WE211" s="6"/>
      <c r="WF211" s="6"/>
      <c r="WG211" s="6"/>
      <c r="WH211" s="6"/>
      <c r="WI211" s="6"/>
      <c r="WJ211" s="6"/>
      <c r="WK211" s="6"/>
      <c r="WL211" s="6"/>
      <c r="WM211" s="6"/>
      <c r="WN211" s="6"/>
      <c r="WO211" s="6"/>
      <c r="WP211" s="6"/>
      <c r="WQ211" s="6"/>
      <c r="WR211" s="6"/>
      <c r="WS211" s="6"/>
      <c r="WT211" s="6"/>
      <c r="WU211" s="6"/>
      <c r="WV211" s="6"/>
      <c r="WW211" s="6"/>
      <c r="WX211" s="6"/>
      <c r="WY211" s="6"/>
      <c r="WZ211" s="6"/>
      <c r="XA211" s="6"/>
      <c r="XB211" s="6"/>
      <c r="XC211" s="6"/>
      <c r="XD211" s="6"/>
      <c r="XE211" s="6"/>
      <c r="XF211" s="6"/>
      <c r="XG211" s="6"/>
      <c r="XH211" s="6"/>
      <c r="XI211" s="6"/>
      <c r="XJ211" s="6"/>
      <c r="XK211" s="6"/>
      <c r="XL211" s="6"/>
      <c r="XM211" s="6"/>
      <c r="XN211" s="6"/>
      <c r="XO211" s="6"/>
      <c r="XP211" s="6"/>
      <c r="XQ211" s="6"/>
      <c r="XR211" s="6"/>
      <c r="XS211" s="6"/>
      <c r="XT211" s="6"/>
      <c r="XU211" s="6"/>
      <c r="XV211" s="6"/>
      <c r="XW211" s="6"/>
      <c r="XX211" s="6"/>
      <c r="XY211" s="6"/>
      <c r="XZ211" s="6"/>
      <c r="YA211" s="6"/>
      <c r="YB211" s="6"/>
      <c r="YC211" s="6"/>
      <c r="YD211" s="6"/>
      <c r="YE211" s="6"/>
      <c r="YF211" s="6"/>
      <c r="YG211" s="6"/>
      <c r="YH211" s="6"/>
      <c r="YI211" s="6"/>
      <c r="YJ211" s="6"/>
      <c r="YK211" s="6"/>
      <c r="YL211" s="6"/>
      <c r="YM211" s="6"/>
      <c r="YN211" s="6"/>
      <c r="YO211" s="6"/>
      <c r="YP211" s="6"/>
      <c r="YQ211" s="6"/>
      <c r="YR211" s="6"/>
      <c r="YS211" s="6"/>
      <c r="YT211" s="6"/>
      <c r="YU211" s="6"/>
      <c r="YV211" s="6"/>
      <c r="YW211" s="6"/>
      <c r="YX211" s="6"/>
      <c r="YY211" s="6"/>
      <c r="YZ211" s="6"/>
      <c r="ZA211" s="6"/>
      <c r="ZB211" s="6"/>
      <c r="ZC211" s="6"/>
      <c r="ZD211" s="6"/>
      <c r="ZE211" s="6"/>
      <c r="ZF211" s="6"/>
      <c r="ZG211" s="6"/>
      <c r="ZH211" s="6"/>
      <c r="ZI211" s="6"/>
      <c r="ZJ211" s="6"/>
      <c r="ZK211" s="6"/>
      <c r="ZL211" s="6"/>
      <c r="ZM211" s="6"/>
      <c r="ZN211" s="6"/>
      <c r="ZO211" s="6"/>
      <c r="ZP211" s="6"/>
      <c r="ZQ211" s="6"/>
      <c r="ZR211" s="6"/>
      <c r="ZS211" s="6"/>
      <c r="ZT211" s="6"/>
      <c r="ZU211" s="6"/>
      <c r="ZV211" s="6"/>
      <c r="ZW211" s="6"/>
      <c r="ZX211" s="6"/>
      <c r="ZY211" s="6"/>
      <c r="ZZ211" s="6"/>
      <c r="AAA211" s="6"/>
      <c r="AAB211" s="6"/>
      <c r="AAC211" s="6"/>
      <c r="AAD211" s="6"/>
      <c r="AAE211" s="6"/>
      <c r="AAF211" s="6"/>
      <c r="AAG211" s="6"/>
      <c r="AAH211" s="6"/>
      <c r="AAI211" s="6"/>
      <c r="AAJ211" s="6"/>
      <c r="AAK211" s="6"/>
      <c r="AAL211" s="6"/>
      <c r="AAM211" s="6"/>
      <c r="AAN211" s="6"/>
      <c r="AAO211" s="6"/>
      <c r="AAP211" s="6"/>
      <c r="AAQ211" s="6"/>
      <c r="AAR211" s="6"/>
      <c r="AAS211" s="6"/>
      <c r="AAT211" s="6"/>
      <c r="AAU211" s="6"/>
      <c r="AAV211" s="6"/>
      <c r="AAW211" s="6"/>
      <c r="AAX211" s="6"/>
      <c r="AAY211" s="6"/>
      <c r="AAZ211" s="6"/>
      <c r="ABA211" s="6"/>
      <c r="ABB211" s="6"/>
      <c r="ABC211" s="6"/>
      <c r="ABD211" s="6"/>
      <c r="ABE211" s="6"/>
      <c r="ABF211" s="6"/>
      <c r="ABG211" s="6"/>
      <c r="ABH211" s="6"/>
      <c r="ABI211" s="6"/>
      <c r="ABJ211" s="6"/>
      <c r="ABK211" s="6"/>
      <c r="ABL211" s="6"/>
      <c r="ABM211" s="6"/>
      <c r="ABN211" s="6"/>
      <c r="ABO211" s="6"/>
      <c r="ABP211" s="6"/>
      <c r="ABQ211" s="6"/>
      <c r="ABR211" s="6"/>
      <c r="ABS211" s="6"/>
      <c r="ABT211" s="6"/>
      <c r="ABU211" s="6"/>
      <c r="ABV211" s="6"/>
      <c r="ABW211" s="6"/>
      <c r="ABX211" s="6"/>
      <c r="ABY211" s="6"/>
      <c r="ABZ211" s="6"/>
      <c r="ACA211" s="6"/>
      <c r="ACB211" s="6"/>
      <c r="ACC211" s="6"/>
      <c r="ACD211" s="6"/>
      <c r="ACE211" s="6"/>
      <c r="ACF211" s="6"/>
      <c r="ACG211" s="6"/>
      <c r="ACH211" s="6"/>
      <c r="ACI211" s="6"/>
      <c r="ACJ211" s="6"/>
      <c r="ACK211" s="6"/>
      <c r="ACL211" s="6"/>
      <c r="ACM211" s="6"/>
      <c r="ACN211" s="6"/>
      <c r="ACO211" s="6"/>
      <c r="ACP211" s="6"/>
      <c r="ACQ211" s="6"/>
      <c r="ACR211" s="6"/>
      <c r="ACS211" s="6"/>
      <c r="ACT211" s="6"/>
      <c r="ACU211" s="6"/>
      <c r="ACV211" s="6"/>
      <c r="ACW211" s="6"/>
      <c r="ACX211" s="6"/>
      <c r="ACY211" s="6"/>
      <c r="ACZ211" s="6"/>
      <c r="ADA211" s="6"/>
      <c r="ADB211" s="6"/>
      <c r="ADC211" s="6"/>
      <c r="ADD211" s="6"/>
      <c r="ADE211" s="6"/>
      <c r="ADF211" s="6"/>
      <c r="ADG211" s="6"/>
      <c r="ADH211" s="6"/>
      <c r="ADI211" s="6"/>
      <c r="ADJ211" s="6"/>
    </row>
    <row r="212" spans="1:790" s="291" customFormat="1" x14ac:dyDescent="0.3">
      <c r="A212" s="399"/>
      <c r="B212" s="571"/>
      <c r="C212" s="366"/>
      <c r="D212" s="367"/>
      <c r="E212" s="367"/>
      <c r="F212" s="362"/>
      <c r="G212" s="362"/>
      <c r="H212" s="362"/>
      <c r="I212" s="369"/>
      <c r="J212" s="362"/>
      <c r="K212" s="363"/>
      <c r="L212" s="370"/>
      <c r="M212" s="490"/>
      <c r="N212" s="489" t="str">
        <f t="shared" ref="N212:N220" si="222">IF(M212&gt;0,M212*J212,"")</f>
        <v/>
      </c>
      <c r="O212" s="308"/>
      <c r="Q212" s="497"/>
      <c r="R212" s="481"/>
      <c r="S212" s="514"/>
      <c r="T212" s="515" t="str">
        <f t="shared" si="143"/>
        <v/>
      </c>
      <c r="U212" s="482" t="str">
        <f t="shared" si="144"/>
        <v/>
      </c>
      <c r="V212" s="514"/>
      <c r="W212" s="515" t="str">
        <f t="shared" si="145"/>
        <v/>
      </c>
      <c r="X212" s="507"/>
      <c r="Y212" s="520"/>
      <c r="Z212" s="521"/>
      <c r="AA212" s="471"/>
      <c r="AB212" s="471"/>
      <c r="AC212" s="471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J212" s="6"/>
      <c r="IK212" s="6"/>
      <c r="IL212" s="6"/>
      <c r="IM212" s="6"/>
      <c r="IN212" s="6"/>
      <c r="IO212" s="6"/>
      <c r="IP212" s="6"/>
      <c r="IQ212" s="6"/>
      <c r="IR212" s="6"/>
      <c r="IS212" s="6"/>
      <c r="IT212" s="6"/>
      <c r="IU212" s="6"/>
      <c r="IV212" s="6"/>
      <c r="IW212" s="6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6"/>
      <c r="KZ212" s="6"/>
      <c r="LA212" s="6"/>
      <c r="LB212" s="6"/>
      <c r="LC212" s="6"/>
      <c r="LD212" s="6"/>
      <c r="LE212" s="6"/>
      <c r="LF212" s="6"/>
      <c r="LG212" s="6"/>
      <c r="LH212" s="6"/>
      <c r="LI212" s="6"/>
      <c r="LJ212" s="6"/>
      <c r="LK212" s="6"/>
      <c r="LL212" s="6"/>
      <c r="LM212" s="6"/>
      <c r="LN212" s="6"/>
      <c r="LO212" s="6"/>
      <c r="LP212" s="6"/>
      <c r="LQ212" s="6"/>
      <c r="LR212" s="6"/>
      <c r="LS212" s="6"/>
      <c r="LT212" s="6"/>
      <c r="LU212" s="6"/>
      <c r="LV212" s="6"/>
      <c r="LW212" s="6"/>
      <c r="LX212" s="6"/>
      <c r="LY212" s="6"/>
      <c r="LZ212" s="6"/>
      <c r="MA212" s="6"/>
      <c r="MB212" s="6"/>
      <c r="MC212" s="6"/>
      <c r="MD212" s="6"/>
      <c r="ME212" s="6"/>
      <c r="MF212" s="6"/>
      <c r="MG212" s="6"/>
      <c r="MH212" s="6"/>
      <c r="MI212" s="6"/>
      <c r="MJ212" s="6"/>
      <c r="MK212" s="6"/>
      <c r="ML212" s="6"/>
      <c r="MM212" s="6"/>
      <c r="MN212" s="6"/>
      <c r="MO212" s="6"/>
      <c r="MP212" s="6"/>
      <c r="MQ212" s="6"/>
      <c r="MR212" s="6"/>
      <c r="MS212" s="6"/>
      <c r="MT212" s="6"/>
      <c r="MU212" s="6"/>
      <c r="MV212" s="6"/>
      <c r="MW212" s="6"/>
      <c r="MX212" s="6"/>
      <c r="MY212" s="6"/>
      <c r="MZ212" s="6"/>
      <c r="NA212" s="6"/>
      <c r="NB212" s="6"/>
      <c r="NC212" s="6"/>
      <c r="ND212" s="6"/>
      <c r="NE212" s="6"/>
      <c r="NF212" s="6"/>
      <c r="NG212" s="6"/>
      <c r="NH212" s="6"/>
      <c r="NI212" s="6"/>
      <c r="NJ212" s="6"/>
      <c r="NK212" s="6"/>
      <c r="NL212" s="6"/>
      <c r="NM212" s="6"/>
      <c r="NN212" s="6"/>
      <c r="NO212" s="6"/>
      <c r="NP212" s="6"/>
      <c r="NQ212" s="6"/>
      <c r="NR212" s="6"/>
      <c r="NS212" s="6"/>
      <c r="NT212" s="6"/>
      <c r="NU212" s="6"/>
      <c r="NV212" s="6"/>
      <c r="NW212" s="6"/>
      <c r="NX212" s="6"/>
      <c r="NY212" s="6"/>
      <c r="NZ212" s="6"/>
      <c r="OA212" s="6"/>
      <c r="OB212" s="6"/>
      <c r="OC212" s="6"/>
      <c r="OD212" s="6"/>
      <c r="OE212" s="6"/>
      <c r="OF212" s="6"/>
      <c r="OG212" s="6"/>
      <c r="OH212" s="6"/>
      <c r="OI212" s="6"/>
      <c r="OJ212" s="6"/>
      <c r="OK212" s="6"/>
      <c r="OL212" s="6"/>
      <c r="OM212" s="6"/>
      <c r="ON212" s="6"/>
      <c r="OO212" s="6"/>
      <c r="OP212" s="6"/>
      <c r="OQ212" s="6"/>
      <c r="OR212" s="6"/>
      <c r="OS212" s="6"/>
      <c r="OT212" s="6"/>
      <c r="OU212" s="6"/>
      <c r="OV212" s="6"/>
      <c r="OW212" s="6"/>
      <c r="OX212" s="6"/>
      <c r="OY212" s="6"/>
      <c r="OZ212" s="6"/>
      <c r="PA212" s="6"/>
      <c r="PB212" s="6"/>
      <c r="PC212" s="6"/>
      <c r="PD212" s="6"/>
      <c r="PE212" s="6"/>
      <c r="PF212" s="6"/>
      <c r="PG212" s="6"/>
      <c r="PH212" s="6"/>
      <c r="PI212" s="6"/>
      <c r="PJ212" s="6"/>
      <c r="PK212" s="6"/>
      <c r="PL212" s="6"/>
      <c r="PM212" s="6"/>
      <c r="PN212" s="6"/>
      <c r="PO212" s="6"/>
      <c r="PP212" s="6"/>
      <c r="PQ212" s="6"/>
      <c r="PR212" s="6"/>
      <c r="PS212" s="6"/>
      <c r="PT212" s="6"/>
      <c r="PU212" s="6"/>
      <c r="PV212" s="6"/>
      <c r="PW212" s="6"/>
      <c r="PX212" s="6"/>
      <c r="PY212" s="6"/>
      <c r="PZ212" s="6"/>
      <c r="QA212" s="6"/>
      <c r="QB212" s="6"/>
      <c r="QC212" s="6"/>
      <c r="QD212" s="6"/>
      <c r="QE212" s="6"/>
      <c r="QF212" s="6"/>
      <c r="QG212" s="6"/>
      <c r="QH212" s="6"/>
      <c r="QI212" s="6"/>
      <c r="QJ212" s="6"/>
      <c r="QK212" s="6"/>
      <c r="QL212" s="6"/>
      <c r="QM212" s="6"/>
      <c r="QN212" s="6"/>
      <c r="QO212" s="6"/>
      <c r="QP212" s="6"/>
      <c r="QQ212" s="6"/>
      <c r="QR212" s="6"/>
      <c r="QS212" s="6"/>
      <c r="QT212" s="6"/>
      <c r="QU212" s="6"/>
      <c r="QV212" s="6"/>
      <c r="QW212" s="6"/>
      <c r="QX212" s="6"/>
      <c r="QY212" s="6"/>
      <c r="QZ212" s="6"/>
      <c r="RA212" s="6"/>
      <c r="RB212" s="6"/>
      <c r="RC212" s="6"/>
      <c r="RD212" s="6"/>
      <c r="RE212" s="6"/>
      <c r="RF212" s="6"/>
      <c r="RG212" s="6"/>
      <c r="RH212" s="6"/>
      <c r="RI212" s="6"/>
      <c r="RJ212" s="6"/>
      <c r="RK212" s="6"/>
      <c r="RL212" s="6"/>
      <c r="RM212" s="6"/>
      <c r="RN212" s="6"/>
      <c r="RO212" s="6"/>
      <c r="RP212" s="6"/>
      <c r="RQ212" s="6"/>
      <c r="RR212" s="6"/>
      <c r="RS212" s="6"/>
      <c r="RT212" s="6"/>
      <c r="RU212" s="6"/>
      <c r="RV212" s="6"/>
      <c r="RW212" s="6"/>
      <c r="RX212" s="6"/>
      <c r="RY212" s="6"/>
      <c r="RZ212" s="6"/>
      <c r="SA212" s="6"/>
      <c r="SB212" s="6"/>
      <c r="SC212" s="6"/>
      <c r="SD212" s="6"/>
      <c r="SE212" s="6"/>
      <c r="SF212" s="6"/>
      <c r="SG212" s="6"/>
      <c r="SH212" s="6"/>
      <c r="SI212" s="6"/>
      <c r="SJ212" s="6"/>
      <c r="SK212" s="6"/>
      <c r="SL212" s="6"/>
      <c r="SM212" s="6"/>
      <c r="SN212" s="6"/>
      <c r="SO212" s="6"/>
      <c r="SP212" s="6"/>
      <c r="SQ212" s="6"/>
      <c r="SR212" s="6"/>
      <c r="SS212" s="6"/>
      <c r="ST212" s="6"/>
      <c r="SU212" s="6"/>
      <c r="SV212" s="6"/>
      <c r="SW212" s="6"/>
      <c r="SX212" s="6"/>
      <c r="SY212" s="6"/>
      <c r="SZ212" s="6"/>
      <c r="TA212" s="6"/>
      <c r="TB212" s="6"/>
      <c r="TC212" s="6"/>
      <c r="TD212" s="6"/>
      <c r="TE212" s="6"/>
      <c r="TF212" s="6"/>
      <c r="TG212" s="6"/>
      <c r="TH212" s="6"/>
      <c r="TI212" s="6"/>
      <c r="TJ212" s="6"/>
      <c r="TK212" s="6"/>
      <c r="TL212" s="6"/>
      <c r="TM212" s="6"/>
      <c r="TN212" s="6"/>
      <c r="TO212" s="6"/>
      <c r="TP212" s="6"/>
      <c r="TQ212" s="6"/>
      <c r="TR212" s="6"/>
      <c r="TS212" s="6"/>
      <c r="TT212" s="6"/>
      <c r="TU212" s="6"/>
      <c r="TV212" s="6"/>
      <c r="TW212" s="6"/>
      <c r="TX212" s="6"/>
      <c r="TY212" s="6"/>
      <c r="TZ212" s="6"/>
      <c r="UA212" s="6"/>
      <c r="UB212" s="6"/>
      <c r="UC212" s="6"/>
      <c r="UD212" s="6"/>
      <c r="UE212" s="6"/>
      <c r="UF212" s="6"/>
      <c r="UG212" s="6"/>
      <c r="UH212" s="6"/>
      <c r="UI212" s="6"/>
      <c r="UJ212" s="6"/>
      <c r="UK212" s="6"/>
      <c r="UL212" s="6"/>
      <c r="UM212" s="6"/>
      <c r="UN212" s="6"/>
      <c r="UO212" s="6"/>
      <c r="UP212" s="6"/>
      <c r="UQ212" s="6"/>
      <c r="UR212" s="6"/>
      <c r="US212" s="6"/>
      <c r="UT212" s="6"/>
      <c r="UU212" s="6"/>
      <c r="UV212" s="6"/>
      <c r="UW212" s="6"/>
      <c r="UX212" s="6"/>
      <c r="UY212" s="6"/>
      <c r="UZ212" s="6"/>
      <c r="VA212" s="6"/>
      <c r="VB212" s="6"/>
      <c r="VC212" s="6"/>
      <c r="VD212" s="6"/>
      <c r="VE212" s="6"/>
      <c r="VF212" s="6"/>
      <c r="VG212" s="6"/>
      <c r="VH212" s="6"/>
      <c r="VI212" s="6"/>
      <c r="VJ212" s="6"/>
      <c r="VK212" s="6"/>
      <c r="VL212" s="6"/>
      <c r="VM212" s="6"/>
      <c r="VN212" s="6"/>
      <c r="VO212" s="6"/>
      <c r="VP212" s="6"/>
      <c r="VQ212" s="6"/>
      <c r="VR212" s="6"/>
      <c r="VS212" s="6"/>
      <c r="VT212" s="6"/>
      <c r="VU212" s="6"/>
      <c r="VV212" s="6"/>
      <c r="VW212" s="6"/>
      <c r="VX212" s="6"/>
      <c r="VY212" s="6"/>
      <c r="VZ212" s="6"/>
      <c r="WA212" s="6"/>
      <c r="WB212" s="6"/>
      <c r="WC212" s="6"/>
      <c r="WD212" s="6"/>
      <c r="WE212" s="6"/>
      <c r="WF212" s="6"/>
      <c r="WG212" s="6"/>
      <c r="WH212" s="6"/>
      <c r="WI212" s="6"/>
      <c r="WJ212" s="6"/>
      <c r="WK212" s="6"/>
      <c r="WL212" s="6"/>
      <c r="WM212" s="6"/>
      <c r="WN212" s="6"/>
      <c r="WO212" s="6"/>
      <c r="WP212" s="6"/>
      <c r="WQ212" s="6"/>
      <c r="WR212" s="6"/>
      <c r="WS212" s="6"/>
      <c r="WT212" s="6"/>
      <c r="WU212" s="6"/>
      <c r="WV212" s="6"/>
      <c r="WW212" s="6"/>
      <c r="WX212" s="6"/>
      <c r="WY212" s="6"/>
      <c r="WZ212" s="6"/>
      <c r="XA212" s="6"/>
      <c r="XB212" s="6"/>
      <c r="XC212" s="6"/>
      <c r="XD212" s="6"/>
      <c r="XE212" s="6"/>
      <c r="XF212" s="6"/>
      <c r="XG212" s="6"/>
      <c r="XH212" s="6"/>
      <c r="XI212" s="6"/>
      <c r="XJ212" s="6"/>
      <c r="XK212" s="6"/>
      <c r="XL212" s="6"/>
      <c r="XM212" s="6"/>
      <c r="XN212" s="6"/>
      <c r="XO212" s="6"/>
      <c r="XP212" s="6"/>
      <c r="XQ212" s="6"/>
      <c r="XR212" s="6"/>
      <c r="XS212" s="6"/>
      <c r="XT212" s="6"/>
      <c r="XU212" s="6"/>
      <c r="XV212" s="6"/>
      <c r="XW212" s="6"/>
      <c r="XX212" s="6"/>
      <c r="XY212" s="6"/>
      <c r="XZ212" s="6"/>
      <c r="YA212" s="6"/>
      <c r="YB212" s="6"/>
      <c r="YC212" s="6"/>
      <c r="YD212" s="6"/>
      <c r="YE212" s="6"/>
      <c r="YF212" s="6"/>
      <c r="YG212" s="6"/>
      <c r="YH212" s="6"/>
      <c r="YI212" s="6"/>
      <c r="YJ212" s="6"/>
      <c r="YK212" s="6"/>
      <c r="YL212" s="6"/>
      <c r="YM212" s="6"/>
      <c r="YN212" s="6"/>
      <c r="YO212" s="6"/>
      <c r="YP212" s="6"/>
      <c r="YQ212" s="6"/>
      <c r="YR212" s="6"/>
      <c r="YS212" s="6"/>
      <c r="YT212" s="6"/>
      <c r="YU212" s="6"/>
      <c r="YV212" s="6"/>
      <c r="YW212" s="6"/>
      <c r="YX212" s="6"/>
      <c r="YY212" s="6"/>
      <c r="YZ212" s="6"/>
      <c r="ZA212" s="6"/>
      <c r="ZB212" s="6"/>
      <c r="ZC212" s="6"/>
      <c r="ZD212" s="6"/>
      <c r="ZE212" s="6"/>
      <c r="ZF212" s="6"/>
      <c r="ZG212" s="6"/>
      <c r="ZH212" s="6"/>
      <c r="ZI212" s="6"/>
      <c r="ZJ212" s="6"/>
      <c r="ZK212" s="6"/>
      <c r="ZL212" s="6"/>
      <c r="ZM212" s="6"/>
      <c r="ZN212" s="6"/>
      <c r="ZO212" s="6"/>
      <c r="ZP212" s="6"/>
      <c r="ZQ212" s="6"/>
      <c r="ZR212" s="6"/>
      <c r="ZS212" s="6"/>
      <c r="ZT212" s="6"/>
      <c r="ZU212" s="6"/>
      <c r="ZV212" s="6"/>
      <c r="ZW212" s="6"/>
      <c r="ZX212" s="6"/>
      <c r="ZY212" s="6"/>
      <c r="ZZ212" s="6"/>
      <c r="AAA212" s="6"/>
      <c r="AAB212" s="6"/>
      <c r="AAC212" s="6"/>
      <c r="AAD212" s="6"/>
      <c r="AAE212" s="6"/>
      <c r="AAF212" s="6"/>
      <c r="AAG212" s="6"/>
      <c r="AAH212" s="6"/>
      <c r="AAI212" s="6"/>
      <c r="AAJ212" s="6"/>
      <c r="AAK212" s="6"/>
      <c r="AAL212" s="6"/>
      <c r="AAM212" s="6"/>
      <c r="AAN212" s="6"/>
      <c r="AAO212" s="6"/>
      <c r="AAP212" s="6"/>
      <c r="AAQ212" s="6"/>
      <c r="AAR212" s="6"/>
      <c r="AAS212" s="6"/>
      <c r="AAT212" s="6"/>
      <c r="AAU212" s="6"/>
      <c r="AAV212" s="6"/>
      <c r="AAW212" s="6"/>
      <c r="AAX212" s="6"/>
      <c r="AAY212" s="6"/>
      <c r="AAZ212" s="6"/>
      <c r="ABA212" s="6"/>
      <c r="ABB212" s="6"/>
      <c r="ABC212" s="6"/>
      <c r="ABD212" s="6"/>
      <c r="ABE212" s="6"/>
      <c r="ABF212" s="6"/>
      <c r="ABG212" s="6"/>
      <c r="ABH212" s="6"/>
      <c r="ABI212" s="6"/>
      <c r="ABJ212" s="6"/>
      <c r="ABK212" s="6"/>
      <c r="ABL212" s="6"/>
      <c r="ABM212" s="6"/>
      <c r="ABN212" s="6"/>
      <c r="ABO212" s="6"/>
      <c r="ABP212" s="6"/>
      <c r="ABQ212" s="6"/>
      <c r="ABR212" s="6"/>
      <c r="ABS212" s="6"/>
      <c r="ABT212" s="6"/>
      <c r="ABU212" s="6"/>
      <c r="ABV212" s="6"/>
      <c r="ABW212" s="6"/>
      <c r="ABX212" s="6"/>
      <c r="ABY212" s="6"/>
      <c r="ABZ212" s="6"/>
      <c r="ACA212" s="6"/>
      <c r="ACB212" s="6"/>
      <c r="ACC212" s="6"/>
      <c r="ACD212" s="6"/>
      <c r="ACE212" s="6"/>
      <c r="ACF212" s="6"/>
      <c r="ACG212" s="6"/>
      <c r="ACH212" s="6"/>
      <c r="ACI212" s="6"/>
      <c r="ACJ212" s="6"/>
      <c r="ACK212" s="6"/>
      <c r="ACL212" s="6"/>
      <c r="ACM212" s="6"/>
      <c r="ACN212" s="6"/>
      <c r="ACO212" s="6"/>
      <c r="ACP212" s="6"/>
      <c r="ACQ212" s="6"/>
      <c r="ACR212" s="6"/>
      <c r="ACS212" s="6"/>
      <c r="ACT212" s="6"/>
      <c r="ACU212" s="6"/>
      <c r="ACV212" s="6"/>
      <c r="ACW212" s="6"/>
      <c r="ACX212" s="6"/>
      <c r="ACY212" s="6"/>
      <c r="ACZ212" s="6"/>
      <c r="ADA212" s="6"/>
      <c r="ADB212" s="6"/>
      <c r="ADC212" s="6"/>
      <c r="ADD212" s="6"/>
      <c r="ADE212" s="6"/>
      <c r="ADF212" s="6"/>
      <c r="ADG212" s="6"/>
      <c r="ADH212" s="6"/>
      <c r="ADI212" s="6"/>
      <c r="ADJ212" s="6"/>
    </row>
    <row r="213" spans="1:790" s="291" customFormat="1" x14ac:dyDescent="0.3">
      <c r="A213" s="399"/>
      <c r="B213" s="430" t="s">
        <v>113</v>
      </c>
      <c r="C213" s="366">
        <v>1</v>
      </c>
      <c r="D213" s="367"/>
      <c r="E213" s="367"/>
      <c r="F213" s="362"/>
      <c r="G213" s="362"/>
      <c r="H213" s="362">
        <f>+PRODUCT(C213:G213)</f>
        <v>1</v>
      </c>
      <c r="I213" s="369" t="s">
        <v>30</v>
      </c>
      <c r="J213" s="362">
        <f>+PRODUCT(C213:G213)</f>
        <v>1</v>
      </c>
      <c r="K213" s="363">
        <v>13000</v>
      </c>
      <c r="L213" s="370">
        <f t="shared" ref="L213" si="223">J213*K213</f>
        <v>13000</v>
      </c>
      <c r="M213" s="490">
        <f t="shared" ref="M213" si="224">K213*(100%-16.5%)</f>
        <v>10855</v>
      </c>
      <c r="N213" s="489">
        <f t="shared" si="222"/>
        <v>10855</v>
      </c>
      <c r="O213" s="308"/>
      <c r="Q213" s="497"/>
      <c r="R213" s="481">
        <f t="shared" ref="R213:R220" si="225">IF(N213&gt;0,J213,"")</f>
        <v>1</v>
      </c>
      <c r="S213" s="514">
        <v>500</v>
      </c>
      <c r="T213" s="515">
        <f t="shared" ref="T213:T220" si="226">IF(S213&gt;0,S213*R213,"")</f>
        <v>500</v>
      </c>
      <c r="U213" s="482">
        <f t="shared" ref="U213:U220" si="227">IF(R213&gt;0,R213,"")</f>
        <v>1</v>
      </c>
      <c r="V213" s="524"/>
      <c r="W213" s="515" t="str">
        <f t="shared" ref="W213" si="228">IF(V213&gt;0,V213*U213,"")</f>
        <v/>
      </c>
      <c r="X213" s="507">
        <f t="shared" si="219"/>
        <v>500</v>
      </c>
      <c r="Y213" s="520">
        <f t="shared" si="220"/>
        <v>10355</v>
      </c>
      <c r="Z213" s="521">
        <f t="shared" si="221"/>
        <v>0.95393827729157066</v>
      </c>
      <c r="AA213" s="471"/>
      <c r="AB213" s="471"/>
      <c r="AC213" s="471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6"/>
      <c r="IK213" s="6"/>
      <c r="IL213" s="6"/>
      <c r="IM213" s="6"/>
      <c r="IN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6"/>
      <c r="KZ213" s="6"/>
      <c r="LA213" s="6"/>
      <c r="LB213" s="6"/>
      <c r="LC213" s="6"/>
      <c r="LD213" s="6"/>
      <c r="LE213" s="6"/>
      <c r="LF213" s="6"/>
      <c r="LG213" s="6"/>
      <c r="LH213" s="6"/>
      <c r="LI213" s="6"/>
      <c r="LJ213" s="6"/>
      <c r="LK213" s="6"/>
      <c r="LL213" s="6"/>
      <c r="LM213" s="6"/>
      <c r="LN213" s="6"/>
      <c r="LO213" s="6"/>
      <c r="LP213" s="6"/>
      <c r="LQ213" s="6"/>
      <c r="LR213" s="6"/>
      <c r="LS213" s="6"/>
      <c r="LT213" s="6"/>
      <c r="LU213" s="6"/>
      <c r="LV213" s="6"/>
      <c r="LW213" s="6"/>
      <c r="LX213" s="6"/>
      <c r="LY213" s="6"/>
      <c r="LZ213" s="6"/>
      <c r="MA213" s="6"/>
      <c r="MB213" s="6"/>
      <c r="MC213" s="6"/>
      <c r="MD213" s="6"/>
      <c r="ME213" s="6"/>
      <c r="MF213" s="6"/>
      <c r="MG213" s="6"/>
      <c r="MH213" s="6"/>
      <c r="MI213" s="6"/>
      <c r="MJ213" s="6"/>
      <c r="MK213" s="6"/>
      <c r="ML213" s="6"/>
      <c r="MM213" s="6"/>
      <c r="MN213" s="6"/>
      <c r="MO213" s="6"/>
      <c r="MP213" s="6"/>
      <c r="MQ213" s="6"/>
      <c r="MR213" s="6"/>
      <c r="MS213" s="6"/>
      <c r="MT213" s="6"/>
      <c r="MU213" s="6"/>
      <c r="MV213" s="6"/>
      <c r="MW213" s="6"/>
      <c r="MX213" s="6"/>
      <c r="MY213" s="6"/>
      <c r="MZ213" s="6"/>
      <c r="NA213" s="6"/>
      <c r="NB213" s="6"/>
      <c r="NC213" s="6"/>
      <c r="ND213" s="6"/>
      <c r="NE213" s="6"/>
      <c r="NF213" s="6"/>
      <c r="NG213" s="6"/>
      <c r="NH213" s="6"/>
      <c r="NI213" s="6"/>
      <c r="NJ213" s="6"/>
      <c r="NK213" s="6"/>
      <c r="NL213" s="6"/>
      <c r="NM213" s="6"/>
      <c r="NN213" s="6"/>
      <c r="NO213" s="6"/>
      <c r="NP213" s="6"/>
      <c r="NQ213" s="6"/>
      <c r="NR213" s="6"/>
      <c r="NS213" s="6"/>
      <c r="NT213" s="6"/>
      <c r="NU213" s="6"/>
      <c r="NV213" s="6"/>
      <c r="NW213" s="6"/>
      <c r="NX213" s="6"/>
      <c r="NY213" s="6"/>
      <c r="NZ213" s="6"/>
      <c r="OA213" s="6"/>
      <c r="OB213" s="6"/>
      <c r="OC213" s="6"/>
      <c r="OD213" s="6"/>
      <c r="OE213" s="6"/>
      <c r="OF213" s="6"/>
      <c r="OG213" s="6"/>
      <c r="OH213" s="6"/>
      <c r="OI213" s="6"/>
      <c r="OJ213" s="6"/>
      <c r="OK213" s="6"/>
      <c r="OL213" s="6"/>
      <c r="OM213" s="6"/>
      <c r="ON213" s="6"/>
      <c r="OO213" s="6"/>
      <c r="OP213" s="6"/>
      <c r="OQ213" s="6"/>
      <c r="OR213" s="6"/>
      <c r="OS213" s="6"/>
      <c r="OT213" s="6"/>
      <c r="OU213" s="6"/>
      <c r="OV213" s="6"/>
      <c r="OW213" s="6"/>
      <c r="OX213" s="6"/>
      <c r="OY213" s="6"/>
      <c r="OZ213" s="6"/>
      <c r="PA213" s="6"/>
      <c r="PB213" s="6"/>
      <c r="PC213" s="6"/>
      <c r="PD213" s="6"/>
      <c r="PE213" s="6"/>
      <c r="PF213" s="6"/>
      <c r="PG213" s="6"/>
      <c r="PH213" s="6"/>
      <c r="PI213" s="6"/>
      <c r="PJ213" s="6"/>
      <c r="PK213" s="6"/>
      <c r="PL213" s="6"/>
      <c r="PM213" s="6"/>
      <c r="PN213" s="6"/>
      <c r="PO213" s="6"/>
      <c r="PP213" s="6"/>
      <c r="PQ213" s="6"/>
      <c r="PR213" s="6"/>
      <c r="PS213" s="6"/>
      <c r="PT213" s="6"/>
      <c r="PU213" s="6"/>
      <c r="PV213" s="6"/>
      <c r="PW213" s="6"/>
      <c r="PX213" s="6"/>
      <c r="PY213" s="6"/>
      <c r="PZ213" s="6"/>
      <c r="QA213" s="6"/>
      <c r="QB213" s="6"/>
      <c r="QC213" s="6"/>
      <c r="QD213" s="6"/>
      <c r="QE213" s="6"/>
      <c r="QF213" s="6"/>
      <c r="QG213" s="6"/>
      <c r="QH213" s="6"/>
      <c r="QI213" s="6"/>
      <c r="QJ213" s="6"/>
      <c r="QK213" s="6"/>
      <c r="QL213" s="6"/>
      <c r="QM213" s="6"/>
      <c r="QN213" s="6"/>
      <c r="QO213" s="6"/>
      <c r="QP213" s="6"/>
      <c r="QQ213" s="6"/>
      <c r="QR213" s="6"/>
      <c r="QS213" s="6"/>
      <c r="QT213" s="6"/>
      <c r="QU213" s="6"/>
      <c r="QV213" s="6"/>
      <c r="QW213" s="6"/>
      <c r="QX213" s="6"/>
      <c r="QY213" s="6"/>
      <c r="QZ213" s="6"/>
      <c r="RA213" s="6"/>
      <c r="RB213" s="6"/>
      <c r="RC213" s="6"/>
      <c r="RD213" s="6"/>
      <c r="RE213" s="6"/>
      <c r="RF213" s="6"/>
      <c r="RG213" s="6"/>
      <c r="RH213" s="6"/>
      <c r="RI213" s="6"/>
      <c r="RJ213" s="6"/>
      <c r="RK213" s="6"/>
      <c r="RL213" s="6"/>
      <c r="RM213" s="6"/>
      <c r="RN213" s="6"/>
      <c r="RO213" s="6"/>
      <c r="RP213" s="6"/>
      <c r="RQ213" s="6"/>
      <c r="RR213" s="6"/>
      <c r="RS213" s="6"/>
      <c r="RT213" s="6"/>
      <c r="RU213" s="6"/>
      <c r="RV213" s="6"/>
      <c r="RW213" s="6"/>
      <c r="RX213" s="6"/>
      <c r="RY213" s="6"/>
      <c r="RZ213" s="6"/>
      <c r="SA213" s="6"/>
      <c r="SB213" s="6"/>
      <c r="SC213" s="6"/>
      <c r="SD213" s="6"/>
      <c r="SE213" s="6"/>
      <c r="SF213" s="6"/>
      <c r="SG213" s="6"/>
      <c r="SH213" s="6"/>
      <c r="SI213" s="6"/>
      <c r="SJ213" s="6"/>
      <c r="SK213" s="6"/>
      <c r="SL213" s="6"/>
      <c r="SM213" s="6"/>
      <c r="SN213" s="6"/>
      <c r="SO213" s="6"/>
      <c r="SP213" s="6"/>
      <c r="SQ213" s="6"/>
      <c r="SR213" s="6"/>
      <c r="SS213" s="6"/>
      <c r="ST213" s="6"/>
      <c r="SU213" s="6"/>
      <c r="SV213" s="6"/>
      <c r="SW213" s="6"/>
      <c r="SX213" s="6"/>
      <c r="SY213" s="6"/>
      <c r="SZ213" s="6"/>
      <c r="TA213" s="6"/>
      <c r="TB213" s="6"/>
      <c r="TC213" s="6"/>
      <c r="TD213" s="6"/>
      <c r="TE213" s="6"/>
      <c r="TF213" s="6"/>
      <c r="TG213" s="6"/>
      <c r="TH213" s="6"/>
      <c r="TI213" s="6"/>
      <c r="TJ213" s="6"/>
      <c r="TK213" s="6"/>
      <c r="TL213" s="6"/>
      <c r="TM213" s="6"/>
      <c r="TN213" s="6"/>
      <c r="TO213" s="6"/>
      <c r="TP213" s="6"/>
      <c r="TQ213" s="6"/>
      <c r="TR213" s="6"/>
      <c r="TS213" s="6"/>
      <c r="TT213" s="6"/>
      <c r="TU213" s="6"/>
      <c r="TV213" s="6"/>
      <c r="TW213" s="6"/>
      <c r="TX213" s="6"/>
      <c r="TY213" s="6"/>
      <c r="TZ213" s="6"/>
      <c r="UA213" s="6"/>
      <c r="UB213" s="6"/>
      <c r="UC213" s="6"/>
      <c r="UD213" s="6"/>
      <c r="UE213" s="6"/>
      <c r="UF213" s="6"/>
      <c r="UG213" s="6"/>
      <c r="UH213" s="6"/>
      <c r="UI213" s="6"/>
      <c r="UJ213" s="6"/>
      <c r="UK213" s="6"/>
      <c r="UL213" s="6"/>
      <c r="UM213" s="6"/>
      <c r="UN213" s="6"/>
      <c r="UO213" s="6"/>
      <c r="UP213" s="6"/>
      <c r="UQ213" s="6"/>
      <c r="UR213" s="6"/>
      <c r="US213" s="6"/>
      <c r="UT213" s="6"/>
      <c r="UU213" s="6"/>
      <c r="UV213" s="6"/>
      <c r="UW213" s="6"/>
      <c r="UX213" s="6"/>
      <c r="UY213" s="6"/>
      <c r="UZ213" s="6"/>
      <c r="VA213" s="6"/>
      <c r="VB213" s="6"/>
      <c r="VC213" s="6"/>
      <c r="VD213" s="6"/>
      <c r="VE213" s="6"/>
      <c r="VF213" s="6"/>
      <c r="VG213" s="6"/>
      <c r="VH213" s="6"/>
      <c r="VI213" s="6"/>
      <c r="VJ213" s="6"/>
      <c r="VK213" s="6"/>
      <c r="VL213" s="6"/>
      <c r="VM213" s="6"/>
      <c r="VN213" s="6"/>
      <c r="VO213" s="6"/>
      <c r="VP213" s="6"/>
      <c r="VQ213" s="6"/>
      <c r="VR213" s="6"/>
      <c r="VS213" s="6"/>
      <c r="VT213" s="6"/>
      <c r="VU213" s="6"/>
      <c r="VV213" s="6"/>
      <c r="VW213" s="6"/>
      <c r="VX213" s="6"/>
      <c r="VY213" s="6"/>
      <c r="VZ213" s="6"/>
      <c r="WA213" s="6"/>
      <c r="WB213" s="6"/>
      <c r="WC213" s="6"/>
      <c r="WD213" s="6"/>
      <c r="WE213" s="6"/>
      <c r="WF213" s="6"/>
      <c r="WG213" s="6"/>
      <c r="WH213" s="6"/>
      <c r="WI213" s="6"/>
      <c r="WJ213" s="6"/>
      <c r="WK213" s="6"/>
      <c r="WL213" s="6"/>
      <c r="WM213" s="6"/>
      <c r="WN213" s="6"/>
      <c r="WO213" s="6"/>
      <c r="WP213" s="6"/>
      <c r="WQ213" s="6"/>
      <c r="WR213" s="6"/>
      <c r="WS213" s="6"/>
      <c r="WT213" s="6"/>
      <c r="WU213" s="6"/>
      <c r="WV213" s="6"/>
      <c r="WW213" s="6"/>
      <c r="WX213" s="6"/>
      <c r="WY213" s="6"/>
      <c r="WZ213" s="6"/>
      <c r="XA213" s="6"/>
      <c r="XB213" s="6"/>
      <c r="XC213" s="6"/>
      <c r="XD213" s="6"/>
      <c r="XE213" s="6"/>
      <c r="XF213" s="6"/>
      <c r="XG213" s="6"/>
      <c r="XH213" s="6"/>
      <c r="XI213" s="6"/>
      <c r="XJ213" s="6"/>
      <c r="XK213" s="6"/>
      <c r="XL213" s="6"/>
      <c r="XM213" s="6"/>
      <c r="XN213" s="6"/>
      <c r="XO213" s="6"/>
      <c r="XP213" s="6"/>
      <c r="XQ213" s="6"/>
      <c r="XR213" s="6"/>
      <c r="XS213" s="6"/>
      <c r="XT213" s="6"/>
      <c r="XU213" s="6"/>
      <c r="XV213" s="6"/>
      <c r="XW213" s="6"/>
      <c r="XX213" s="6"/>
      <c r="XY213" s="6"/>
      <c r="XZ213" s="6"/>
      <c r="YA213" s="6"/>
      <c r="YB213" s="6"/>
      <c r="YC213" s="6"/>
      <c r="YD213" s="6"/>
      <c r="YE213" s="6"/>
      <c r="YF213" s="6"/>
      <c r="YG213" s="6"/>
      <c r="YH213" s="6"/>
      <c r="YI213" s="6"/>
      <c r="YJ213" s="6"/>
      <c r="YK213" s="6"/>
      <c r="YL213" s="6"/>
      <c r="YM213" s="6"/>
      <c r="YN213" s="6"/>
      <c r="YO213" s="6"/>
      <c r="YP213" s="6"/>
      <c r="YQ213" s="6"/>
      <c r="YR213" s="6"/>
      <c r="YS213" s="6"/>
      <c r="YT213" s="6"/>
      <c r="YU213" s="6"/>
      <c r="YV213" s="6"/>
      <c r="YW213" s="6"/>
      <c r="YX213" s="6"/>
      <c r="YY213" s="6"/>
      <c r="YZ213" s="6"/>
      <c r="ZA213" s="6"/>
      <c r="ZB213" s="6"/>
      <c r="ZC213" s="6"/>
      <c r="ZD213" s="6"/>
      <c r="ZE213" s="6"/>
      <c r="ZF213" s="6"/>
      <c r="ZG213" s="6"/>
      <c r="ZH213" s="6"/>
      <c r="ZI213" s="6"/>
      <c r="ZJ213" s="6"/>
      <c r="ZK213" s="6"/>
      <c r="ZL213" s="6"/>
      <c r="ZM213" s="6"/>
      <c r="ZN213" s="6"/>
      <c r="ZO213" s="6"/>
      <c r="ZP213" s="6"/>
      <c r="ZQ213" s="6"/>
      <c r="ZR213" s="6"/>
      <c r="ZS213" s="6"/>
      <c r="ZT213" s="6"/>
      <c r="ZU213" s="6"/>
      <c r="ZV213" s="6"/>
      <c r="ZW213" s="6"/>
      <c r="ZX213" s="6"/>
      <c r="ZY213" s="6"/>
      <c r="ZZ213" s="6"/>
      <c r="AAA213" s="6"/>
      <c r="AAB213" s="6"/>
      <c r="AAC213" s="6"/>
      <c r="AAD213" s="6"/>
      <c r="AAE213" s="6"/>
      <c r="AAF213" s="6"/>
      <c r="AAG213" s="6"/>
      <c r="AAH213" s="6"/>
      <c r="AAI213" s="6"/>
      <c r="AAJ213" s="6"/>
      <c r="AAK213" s="6"/>
      <c r="AAL213" s="6"/>
      <c r="AAM213" s="6"/>
      <c r="AAN213" s="6"/>
      <c r="AAO213" s="6"/>
      <c r="AAP213" s="6"/>
      <c r="AAQ213" s="6"/>
      <c r="AAR213" s="6"/>
      <c r="AAS213" s="6"/>
      <c r="AAT213" s="6"/>
      <c r="AAU213" s="6"/>
      <c r="AAV213" s="6"/>
      <c r="AAW213" s="6"/>
      <c r="AAX213" s="6"/>
      <c r="AAY213" s="6"/>
      <c r="AAZ213" s="6"/>
      <c r="ABA213" s="6"/>
      <c r="ABB213" s="6"/>
      <c r="ABC213" s="6"/>
      <c r="ABD213" s="6"/>
      <c r="ABE213" s="6"/>
      <c r="ABF213" s="6"/>
      <c r="ABG213" s="6"/>
      <c r="ABH213" s="6"/>
      <c r="ABI213" s="6"/>
      <c r="ABJ213" s="6"/>
      <c r="ABK213" s="6"/>
      <c r="ABL213" s="6"/>
      <c r="ABM213" s="6"/>
      <c r="ABN213" s="6"/>
      <c r="ABO213" s="6"/>
      <c r="ABP213" s="6"/>
      <c r="ABQ213" s="6"/>
      <c r="ABR213" s="6"/>
      <c r="ABS213" s="6"/>
      <c r="ABT213" s="6"/>
      <c r="ABU213" s="6"/>
      <c r="ABV213" s="6"/>
      <c r="ABW213" s="6"/>
      <c r="ABX213" s="6"/>
      <c r="ABY213" s="6"/>
      <c r="ABZ213" s="6"/>
      <c r="ACA213" s="6"/>
      <c r="ACB213" s="6"/>
      <c r="ACC213" s="6"/>
      <c r="ACD213" s="6"/>
      <c r="ACE213" s="6"/>
      <c r="ACF213" s="6"/>
      <c r="ACG213" s="6"/>
      <c r="ACH213" s="6"/>
      <c r="ACI213" s="6"/>
      <c r="ACJ213" s="6"/>
      <c r="ACK213" s="6"/>
      <c r="ACL213" s="6"/>
      <c r="ACM213" s="6"/>
      <c r="ACN213" s="6"/>
      <c r="ACO213" s="6"/>
      <c r="ACP213" s="6"/>
      <c r="ACQ213" s="6"/>
      <c r="ACR213" s="6"/>
      <c r="ACS213" s="6"/>
      <c r="ACT213" s="6"/>
      <c r="ACU213" s="6"/>
      <c r="ACV213" s="6"/>
      <c r="ACW213" s="6"/>
      <c r="ACX213" s="6"/>
      <c r="ACY213" s="6"/>
      <c r="ACZ213" s="6"/>
      <c r="ADA213" s="6"/>
      <c r="ADB213" s="6"/>
      <c r="ADC213" s="6"/>
      <c r="ADD213" s="6"/>
      <c r="ADE213" s="6"/>
      <c r="ADF213" s="6"/>
      <c r="ADG213" s="6"/>
      <c r="ADH213" s="6"/>
      <c r="ADI213" s="6"/>
      <c r="ADJ213" s="6"/>
    </row>
    <row r="214" spans="1:790" s="291" customFormat="1" x14ac:dyDescent="0.3">
      <c r="A214" s="399"/>
      <c r="B214" s="571"/>
      <c r="C214" s="366"/>
      <c r="D214" s="367"/>
      <c r="E214" s="367"/>
      <c r="F214" s="362"/>
      <c r="G214" s="362"/>
      <c r="H214" s="362"/>
      <c r="I214" s="369"/>
      <c r="J214" s="362"/>
      <c r="K214" s="363"/>
      <c r="L214" s="370"/>
      <c r="M214" s="490"/>
      <c r="N214" s="489" t="str">
        <f t="shared" si="222"/>
        <v/>
      </c>
      <c r="O214" s="308"/>
      <c r="Q214" s="497"/>
      <c r="R214" s="481"/>
      <c r="S214" s="514"/>
      <c r="T214" s="515" t="str">
        <f t="shared" si="226"/>
        <v/>
      </c>
      <c r="U214" s="482" t="str">
        <f t="shared" si="227"/>
        <v/>
      </c>
      <c r="V214" s="514"/>
      <c r="W214" s="515" t="str">
        <f t="shared" ref="W214:W220" si="229">IF(V214&gt;0,V214*U214,"")</f>
        <v/>
      </c>
      <c r="X214" s="507"/>
      <c r="Y214" s="507"/>
      <c r="Z214" s="478"/>
      <c r="AA214" s="471"/>
      <c r="AB214" s="471"/>
      <c r="AC214" s="471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  <c r="IT214" s="6"/>
      <c r="IU214" s="6"/>
      <c r="IV214" s="6"/>
      <c r="IW214" s="6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6"/>
      <c r="KZ214" s="6"/>
      <c r="LA214" s="6"/>
      <c r="LB214" s="6"/>
      <c r="LC214" s="6"/>
      <c r="LD214" s="6"/>
      <c r="LE214" s="6"/>
      <c r="LF214" s="6"/>
      <c r="LG214" s="6"/>
      <c r="LH214" s="6"/>
      <c r="LI214" s="6"/>
      <c r="LJ214" s="6"/>
      <c r="LK214" s="6"/>
      <c r="LL214" s="6"/>
      <c r="LM214" s="6"/>
      <c r="LN214" s="6"/>
      <c r="LO214" s="6"/>
      <c r="LP214" s="6"/>
      <c r="LQ214" s="6"/>
      <c r="LR214" s="6"/>
      <c r="LS214" s="6"/>
      <c r="LT214" s="6"/>
      <c r="LU214" s="6"/>
      <c r="LV214" s="6"/>
      <c r="LW214" s="6"/>
      <c r="LX214" s="6"/>
      <c r="LY214" s="6"/>
      <c r="LZ214" s="6"/>
      <c r="MA214" s="6"/>
      <c r="MB214" s="6"/>
      <c r="MC214" s="6"/>
      <c r="MD214" s="6"/>
      <c r="ME214" s="6"/>
      <c r="MF214" s="6"/>
      <c r="MG214" s="6"/>
      <c r="MH214" s="6"/>
      <c r="MI214" s="6"/>
      <c r="MJ214" s="6"/>
      <c r="MK214" s="6"/>
      <c r="ML214" s="6"/>
      <c r="MM214" s="6"/>
      <c r="MN214" s="6"/>
      <c r="MO214" s="6"/>
      <c r="MP214" s="6"/>
      <c r="MQ214" s="6"/>
      <c r="MR214" s="6"/>
      <c r="MS214" s="6"/>
      <c r="MT214" s="6"/>
      <c r="MU214" s="6"/>
      <c r="MV214" s="6"/>
      <c r="MW214" s="6"/>
      <c r="MX214" s="6"/>
      <c r="MY214" s="6"/>
      <c r="MZ214" s="6"/>
      <c r="NA214" s="6"/>
      <c r="NB214" s="6"/>
      <c r="NC214" s="6"/>
      <c r="ND214" s="6"/>
      <c r="NE214" s="6"/>
      <c r="NF214" s="6"/>
      <c r="NG214" s="6"/>
      <c r="NH214" s="6"/>
      <c r="NI214" s="6"/>
      <c r="NJ214" s="6"/>
      <c r="NK214" s="6"/>
      <c r="NL214" s="6"/>
      <c r="NM214" s="6"/>
      <c r="NN214" s="6"/>
      <c r="NO214" s="6"/>
      <c r="NP214" s="6"/>
      <c r="NQ214" s="6"/>
      <c r="NR214" s="6"/>
      <c r="NS214" s="6"/>
      <c r="NT214" s="6"/>
      <c r="NU214" s="6"/>
      <c r="NV214" s="6"/>
      <c r="NW214" s="6"/>
      <c r="NX214" s="6"/>
      <c r="NY214" s="6"/>
      <c r="NZ214" s="6"/>
      <c r="OA214" s="6"/>
      <c r="OB214" s="6"/>
      <c r="OC214" s="6"/>
      <c r="OD214" s="6"/>
      <c r="OE214" s="6"/>
      <c r="OF214" s="6"/>
      <c r="OG214" s="6"/>
      <c r="OH214" s="6"/>
      <c r="OI214" s="6"/>
      <c r="OJ214" s="6"/>
      <c r="OK214" s="6"/>
      <c r="OL214" s="6"/>
      <c r="OM214" s="6"/>
      <c r="ON214" s="6"/>
      <c r="OO214" s="6"/>
      <c r="OP214" s="6"/>
      <c r="OQ214" s="6"/>
      <c r="OR214" s="6"/>
      <c r="OS214" s="6"/>
      <c r="OT214" s="6"/>
      <c r="OU214" s="6"/>
      <c r="OV214" s="6"/>
      <c r="OW214" s="6"/>
      <c r="OX214" s="6"/>
      <c r="OY214" s="6"/>
      <c r="OZ214" s="6"/>
      <c r="PA214" s="6"/>
      <c r="PB214" s="6"/>
      <c r="PC214" s="6"/>
      <c r="PD214" s="6"/>
      <c r="PE214" s="6"/>
      <c r="PF214" s="6"/>
      <c r="PG214" s="6"/>
      <c r="PH214" s="6"/>
      <c r="PI214" s="6"/>
      <c r="PJ214" s="6"/>
      <c r="PK214" s="6"/>
      <c r="PL214" s="6"/>
      <c r="PM214" s="6"/>
      <c r="PN214" s="6"/>
      <c r="PO214" s="6"/>
      <c r="PP214" s="6"/>
      <c r="PQ214" s="6"/>
      <c r="PR214" s="6"/>
      <c r="PS214" s="6"/>
      <c r="PT214" s="6"/>
      <c r="PU214" s="6"/>
      <c r="PV214" s="6"/>
      <c r="PW214" s="6"/>
      <c r="PX214" s="6"/>
      <c r="PY214" s="6"/>
      <c r="PZ214" s="6"/>
      <c r="QA214" s="6"/>
      <c r="QB214" s="6"/>
      <c r="QC214" s="6"/>
      <c r="QD214" s="6"/>
      <c r="QE214" s="6"/>
      <c r="QF214" s="6"/>
      <c r="QG214" s="6"/>
      <c r="QH214" s="6"/>
      <c r="QI214" s="6"/>
      <c r="QJ214" s="6"/>
      <c r="QK214" s="6"/>
      <c r="QL214" s="6"/>
      <c r="QM214" s="6"/>
      <c r="QN214" s="6"/>
      <c r="QO214" s="6"/>
      <c r="QP214" s="6"/>
      <c r="QQ214" s="6"/>
      <c r="QR214" s="6"/>
      <c r="QS214" s="6"/>
      <c r="QT214" s="6"/>
      <c r="QU214" s="6"/>
      <c r="QV214" s="6"/>
      <c r="QW214" s="6"/>
      <c r="QX214" s="6"/>
      <c r="QY214" s="6"/>
      <c r="QZ214" s="6"/>
      <c r="RA214" s="6"/>
      <c r="RB214" s="6"/>
      <c r="RC214" s="6"/>
      <c r="RD214" s="6"/>
      <c r="RE214" s="6"/>
      <c r="RF214" s="6"/>
      <c r="RG214" s="6"/>
      <c r="RH214" s="6"/>
      <c r="RI214" s="6"/>
      <c r="RJ214" s="6"/>
      <c r="RK214" s="6"/>
      <c r="RL214" s="6"/>
      <c r="RM214" s="6"/>
      <c r="RN214" s="6"/>
      <c r="RO214" s="6"/>
      <c r="RP214" s="6"/>
      <c r="RQ214" s="6"/>
      <c r="RR214" s="6"/>
      <c r="RS214" s="6"/>
      <c r="RT214" s="6"/>
      <c r="RU214" s="6"/>
      <c r="RV214" s="6"/>
      <c r="RW214" s="6"/>
      <c r="RX214" s="6"/>
      <c r="RY214" s="6"/>
      <c r="RZ214" s="6"/>
      <c r="SA214" s="6"/>
      <c r="SB214" s="6"/>
      <c r="SC214" s="6"/>
      <c r="SD214" s="6"/>
      <c r="SE214" s="6"/>
      <c r="SF214" s="6"/>
      <c r="SG214" s="6"/>
      <c r="SH214" s="6"/>
      <c r="SI214" s="6"/>
      <c r="SJ214" s="6"/>
      <c r="SK214" s="6"/>
      <c r="SL214" s="6"/>
      <c r="SM214" s="6"/>
      <c r="SN214" s="6"/>
      <c r="SO214" s="6"/>
      <c r="SP214" s="6"/>
      <c r="SQ214" s="6"/>
      <c r="SR214" s="6"/>
      <c r="SS214" s="6"/>
      <c r="ST214" s="6"/>
      <c r="SU214" s="6"/>
      <c r="SV214" s="6"/>
      <c r="SW214" s="6"/>
      <c r="SX214" s="6"/>
      <c r="SY214" s="6"/>
      <c r="SZ214" s="6"/>
      <c r="TA214" s="6"/>
      <c r="TB214" s="6"/>
      <c r="TC214" s="6"/>
      <c r="TD214" s="6"/>
      <c r="TE214" s="6"/>
      <c r="TF214" s="6"/>
      <c r="TG214" s="6"/>
      <c r="TH214" s="6"/>
      <c r="TI214" s="6"/>
      <c r="TJ214" s="6"/>
      <c r="TK214" s="6"/>
      <c r="TL214" s="6"/>
      <c r="TM214" s="6"/>
      <c r="TN214" s="6"/>
      <c r="TO214" s="6"/>
      <c r="TP214" s="6"/>
      <c r="TQ214" s="6"/>
      <c r="TR214" s="6"/>
      <c r="TS214" s="6"/>
      <c r="TT214" s="6"/>
      <c r="TU214" s="6"/>
      <c r="TV214" s="6"/>
      <c r="TW214" s="6"/>
      <c r="TX214" s="6"/>
      <c r="TY214" s="6"/>
      <c r="TZ214" s="6"/>
      <c r="UA214" s="6"/>
      <c r="UB214" s="6"/>
      <c r="UC214" s="6"/>
      <c r="UD214" s="6"/>
      <c r="UE214" s="6"/>
      <c r="UF214" s="6"/>
      <c r="UG214" s="6"/>
      <c r="UH214" s="6"/>
      <c r="UI214" s="6"/>
      <c r="UJ214" s="6"/>
      <c r="UK214" s="6"/>
      <c r="UL214" s="6"/>
      <c r="UM214" s="6"/>
      <c r="UN214" s="6"/>
      <c r="UO214" s="6"/>
      <c r="UP214" s="6"/>
      <c r="UQ214" s="6"/>
      <c r="UR214" s="6"/>
      <c r="US214" s="6"/>
      <c r="UT214" s="6"/>
      <c r="UU214" s="6"/>
      <c r="UV214" s="6"/>
      <c r="UW214" s="6"/>
      <c r="UX214" s="6"/>
      <c r="UY214" s="6"/>
      <c r="UZ214" s="6"/>
      <c r="VA214" s="6"/>
      <c r="VB214" s="6"/>
      <c r="VC214" s="6"/>
      <c r="VD214" s="6"/>
      <c r="VE214" s="6"/>
      <c r="VF214" s="6"/>
      <c r="VG214" s="6"/>
      <c r="VH214" s="6"/>
      <c r="VI214" s="6"/>
      <c r="VJ214" s="6"/>
      <c r="VK214" s="6"/>
      <c r="VL214" s="6"/>
      <c r="VM214" s="6"/>
      <c r="VN214" s="6"/>
      <c r="VO214" s="6"/>
      <c r="VP214" s="6"/>
      <c r="VQ214" s="6"/>
      <c r="VR214" s="6"/>
      <c r="VS214" s="6"/>
      <c r="VT214" s="6"/>
      <c r="VU214" s="6"/>
      <c r="VV214" s="6"/>
      <c r="VW214" s="6"/>
      <c r="VX214" s="6"/>
      <c r="VY214" s="6"/>
      <c r="VZ214" s="6"/>
      <c r="WA214" s="6"/>
      <c r="WB214" s="6"/>
      <c r="WC214" s="6"/>
      <c r="WD214" s="6"/>
      <c r="WE214" s="6"/>
      <c r="WF214" s="6"/>
      <c r="WG214" s="6"/>
      <c r="WH214" s="6"/>
      <c r="WI214" s="6"/>
      <c r="WJ214" s="6"/>
      <c r="WK214" s="6"/>
      <c r="WL214" s="6"/>
      <c r="WM214" s="6"/>
      <c r="WN214" s="6"/>
      <c r="WO214" s="6"/>
      <c r="WP214" s="6"/>
      <c r="WQ214" s="6"/>
      <c r="WR214" s="6"/>
      <c r="WS214" s="6"/>
      <c r="WT214" s="6"/>
      <c r="WU214" s="6"/>
      <c r="WV214" s="6"/>
      <c r="WW214" s="6"/>
      <c r="WX214" s="6"/>
      <c r="WY214" s="6"/>
      <c r="WZ214" s="6"/>
      <c r="XA214" s="6"/>
      <c r="XB214" s="6"/>
      <c r="XC214" s="6"/>
      <c r="XD214" s="6"/>
      <c r="XE214" s="6"/>
      <c r="XF214" s="6"/>
      <c r="XG214" s="6"/>
      <c r="XH214" s="6"/>
      <c r="XI214" s="6"/>
      <c r="XJ214" s="6"/>
      <c r="XK214" s="6"/>
      <c r="XL214" s="6"/>
      <c r="XM214" s="6"/>
      <c r="XN214" s="6"/>
      <c r="XO214" s="6"/>
      <c r="XP214" s="6"/>
      <c r="XQ214" s="6"/>
      <c r="XR214" s="6"/>
      <c r="XS214" s="6"/>
      <c r="XT214" s="6"/>
      <c r="XU214" s="6"/>
      <c r="XV214" s="6"/>
      <c r="XW214" s="6"/>
      <c r="XX214" s="6"/>
      <c r="XY214" s="6"/>
      <c r="XZ214" s="6"/>
      <c r="YA214" s="6"/>
      <c r="YB214" s="6"/>
      <c r="YC214" s="6"/>
      <c r="YD214" s="6"/>
      <c r="YE214" s="6"/>
      <c r="YF214" s="6"/>
      <c r="YG214" s="6"/>
      <c r="YH214" s="6"/>
      <c r="YI214" s="6"/>
      <c r="YJ214" s="6"/>
      <c r="YK214" s="6"/>
      <c r="YL214" s="6"/>
      <c r="YM214" s="6"/>
      <c r="YN214" s="6"/>
      <c r="YO214" s="6"/>
      <c r="YP214" s="6"/>
      <c r="YQ214" s="6"/>
      <c r="YR214" s="6"/>
      <c r="YS214" s="6"/>
      <c r="YT214" s="6"/>
      <c r="YU214" s="6"/>
      <c r="YV214" s="6"/>
      <c r="YW214" s="6"/>
      <c r="YX214" s="6"/>
      <c r="YY214" s="6"/>
      <c r="YZ214" s="6"/>
      <c r="ZA214" s="6"/>
      <c r="ZB214" s="6"/>
      <c r="ZC214" s="6"/>
      <c r="ZD214" s="6"/>
      <c r="ZE214" s="6"/>
      <c r="ZF214" s="6"/>
      <c r="ZG214" s="6"/>
      <c r="ZH214" s="6"/>
      <c r="ZI214" s="6"/>
      <c r="ZJ214" s="6"/>
      <c r="ZK214" s="6"/>
      <c r="ZL214" s="6"/>
      <c r="ZM214" s="6"/>
      <c r="ZN214" s="6"/>
      <c r="ZO214" s="6"/>
      <c r="ZP214" s="6"/>
      <c r="ZQ214" s="6"/>
      <c r="ZR214" s="6"/>
      <c r="ZS214" s="6"/>
      <c r="ZT214" s="6"/>
      <c r="ZU214" s="6"/>
      <c r="ZV214" s="6"/>
      <c r="ZW214" s="6"/>
      <c r="ZX214" s="6"/>
      <c r="ZY214" s="6"/>
      <c r="ZZ214" s="6"/>
      <c r="AAA214" s="6"/>
      <c r="AAB214" s="6"/>
      <c r="AAC214" s="6"/>
      <c r="AAD214" s="6"/>
      <c r="AAE214" s="6"/>
      <c r="AAF214" s="6"/>
      <c r="AAG214" s="6"/>
      <c r="AAH214" s="6"/>
      <c r="AAI214" s="6"/>
      <c r="AAJ214" s="6"/>
      <c r="AAK214" s="6"/>
      <c r="AAL214" s="6"/>
      <c r="AAM214" s="6"/>
      <c r="AAN214" s="6"/>
      <c r="AAO214" s="6"/>
      <c r="AAP214" s="6"/>
      <c r="AAQ214" s="6"/>
      <c r="AAR214" s="6"/>
      <c r="AAS214" s="6"/>
      <c r="AAT214" s="6"/>
      <c r="AAU214" s="6"/>
      <c r="AAV214" s="6"/>
      <c r="AAW214" s="6"/>
      <c r="AAX214" s="6"/>
      <c r="AAY214" s="6"/>
      <c r="AAZ214" s="6"/>
      <c r="ABA214" s="6"/>
      <c r="ABB214" s="6"/>
      <c r="ABC214" s="6"/>
      <c r="ABD214" s="6"/>
      <c r="ABE214" s="6"/>
      <c r="ABF214" s="6"/>
      <c r="ABG214" s="6"/>
      <c r="ABH214" s="6"/>
      <c r="ABI214" s="6"/>
      <c r="ABJ214" s="6"/>
      <c r="ABK214" s="6"/>
      <c r="ABL214" s="6"/>
      <c r="ABM214" s="6"/>
      <c r="ABN214" s="6"/>
      <c r="ABO214" s="6"/>
      <c r="ABP214" s="6"/>
      <c r="ABQ214" s="6"/>
      <c r="ABR214" s="6"/>
      <c r="ABS214" s="6"/>
      <c r="ABT214" s="6"/>
      <c r="ABU214" s="6"/>
      <c r="ABV214" s="6"/>
      <c r="ABW214" s="6"/>
      <c r="ABX214" s="6"/>
      <c r="ABY214" s="6"/>
      <c r="ABZ214" s="6"/>
      <c r="ACA214" s="6"/>
      <c r="ACB214" s="6"/>
      <c r="ACC214" s="6"/>
      <c r="ACD214" s="6"/>
      <c r="ACE214" s="6"/>
      <c r="ACF214" s="6"/>
      <c r="ACG214" s="6"/>
      <c r="ACH214" s="6"/>
      <c r="ACI214" s="6"/>
      <c r="ACJ214" s="6"/>
      <c r="ACK214" s="6"/>
      <c r="ACL214" s="6"/>
      <c r="ACM214" s="6"/>
      <c r="ACN214" s="6"/>
      <c r="ACO214" s="6"/>
      <c r="ACP214" s="6"/>
      <c r="ACQ214" s="6"/>
      <c r="ACR214" s="6"/>
      <c r="ACS214" s="6"/>
      <c r="ACT214" s="6"/>
      <c r="ACU214" s="6"/>
      <c r="ACV214" s="6"/>
      <c r="ACW214" s="6"/>
      <c r="ACX214" s="6"/>
      <c r="ACY214" s="6"/>
      <c r="ACZ214" s="6"/>
      <c r="ADA214" s="6"/>
      <c r="ADB214" s="6"/>
      <c r="ADC214" s="6"/>
      <c r="ADD214" s="6"/>
      <c r="ADE214" s="6"/>
      <c r="ADF214" s="6"/>
      <c r="ADG214" s="6"/>
      <c r="ADH214" s="6"/>
      <c r="ADI214" s="6"/>
      <c r="ADJ214" s="6"/>
    </row>
    <row r="215" spans="1:790" s="291" customFormat="1" x14ac:dyDescent="0.3">
      <c r="A215" s="399"/>
      <c r="B215" s="430" t="s">
        <v>127</v>
      </c>
      <c r="C215" s="366"/>
      <c r="D215" s="367"/>
      <c r="E215" s="367"/>
      <c r="F215" s="362"/>
      <c r="G215" s="362"/>
      <c r="H215" s="362"/>
      <c r="I215" s="369"/>
      <c r="J215" s="362"/>
      <c r="K215" s="363"/>
      <c r="L215" s="370"/>
      <c r="M215" s="490"/>
      <c r="N215" s="489" t="str">
        <f t="shared" si="222"/>
        <v/>
      </c>
      <c r="O215" s="308"/>
      <c r="Q215" s="497"/>
      <c r="R215" s="481"/>
      <c r="S215" s="514"/>
      <c r="T215" s="515" t="str">
        <f t="shared" si="226"/>
        <v/>
      </c>
      <c r="U215" s="482" t="str">
        <f t="shared" si="227"/>
        <v/>
      </c>
      <c r="V215" s="514"/>
      <c r="W215" s="515" t="str">
        <f t="shared" si="229"/>
        <v/>
      </c>
      <c r="X215" s="507"/>
      <c r="Y215" s="507"/>
      <c r="Z215" s="478"/>
      <c r="AA215" s="471"/>
      <c r="AB215" s="471"/>
      <c r="AC215" s="471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J215" s="6"/>
      <c r="IK215" s="6"/>
      <c r="IL215" s="6"/>
      <c r="IM215" s="6"/>
      <c r="IN215" s="6"/>
      <c r="IO215" s="6"/>
      <c r="IP215" s="6"/>
      <c r="IQ215" s="6"/>
      <c r="IR215" s="6"/>
      <c r="IS215" s="6"/>
      <c r="IT215" s="6"/>
      <c r="IU215" s="6"/>
      <c r="IV215" s="6"/>
      <c r="IW215" s="6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6"/>
      <c r="KZ215" s="6"/>
      <c r="LA215" s="6"/>
      <c r="LB215" s="6"/>
      <c r="LC215" s="6"/>
      <c r="LD215" s="6"/>
      <c r="LE215" s="6"/>
      <c r="LF215" s="6"/>
      <c r="LG215" s="6"/>
      <c r="LH215" s="6"/>
      <c r="LI215" s="6"/>
      <c r="LJ215" s="6"/>
      <c r="LK215" s="6"/>
      <c r="LL215" s="6"/>
      <c r="LM215" s="6"/>
      <c r="LN215" s="6"/>
      <c r="LO215" s="6"/>
      <c r="LP215" s="6"/>
      <c r="LQ215" s="6"/>
      <c r="LR215" s="6"/>
      <c r="LS215" s="6"/>
      <c r="LT215" s="6"/>
      <c r="LU215" s="6"/>
      <c r="LV215" s="6"/>
      <c r="LW215" s="6"/>
      <c r="LX215" s="6"/>
      <c r="LY215" s="6"/>
      <c r="LZ215" s="6"/>
      <c r="MA215" s="6"/>
      <c r="MB215" s="6"/>
      <c r="MC215" s="6"/>
      <c r="MD215" s="6"/>
      <c r="ME215" s="6"/>
      <c r="MF215" s="6"/>
      <c r="MG215" s="6"/>
      <c r="MH215" s="6"/>
      <c r="MI215" s="6"/>
      <c r="MJ215" s="6"/>
      <c r="MK215" s="6"/>
      <c r="ML215" s="6"/>
      <c r="MM215" s="6"/>
      <c r="MN215" s="6"/>
      <c r="MO215" s="6"/>
      <c r="MP215" s="6"/>
      <c r="MQ215" s="6"/>
      <c r="MR215" s="6"/>
      <c r="MS215" s="6"/>
      <c r="MT215" s="6"/>
      <c r="MU215" s="6"/>
      <c r="MV215" s="6"/>
      <c r="MW215" s="6"/>
      <c r="MX215" s="6"/>
      <c r="MY215" s="6"/>
      <c r="MZ215" s="6"/>
      <c r="NA215" s="6"/>
      <c r="NB215" s="6"/>
      <c r="NC215" s="6"/>
      <c r="ND215" s="6"/>
      <c r="NE215" s="6"/>
      <c r="NF215" s="6"/>
      <c r="NG215" s="6"/>
      <c r="NH215" s="6"/>
      <c r="NI215" s="6"/>
      <c r="NJ215" s="6"/>
      <c r="NK215" s="6"/>
      <c r="NL215" s="6"/>
      <c r="NM215" s="6"/>
      <c r="NN215" s="6"/>
      <c r="NO215" s="6"/>
      <c r="NP215" s="6"/>
      <c r="NQ215" s="6"/>
      <c r="NR215" s="6"/>
      <c r="NS215" s="6"/>
      <c r="NT215" s="6"/>
      <c r="NU215" s="6"/>
      <c r="NV215" s="6"/>
      <c r="NW215" s="6"/>
      <c r="NX215" s="6"/>
      <c r="NY215" s="6"/>
      <c r="NZ215" s="6"/>
      <c r="OA215" s="6"/>
      <c r="OB215" s="6"/>
      <c r="OC215" s="6"/>
      <c r="OD215" s="6"/>
      <c r="OE215" s="6"/>
      <c r="OF215" s="6"/>
      <c r="OG215" s="6"/>
      <c r="OH215" s="6"/>
      <c r="OI215" s="6"/>
      <c r="OJ215" s="6"/>
      <c r="OK215" s="6"/>
      <c r="OL215" s="6"/>
      <c r="OM215" s="6"/>
      <c r="ON215" s="6"/>
      <c r="OO215" s="6"/>
      <c r="OP215" s="6"/>
      <c r="OQ215" s="6"/>
      <c r="OR215" s="6"/>
      <c r="OS215" s="6"/>
      <c r="OT215" s="6"/>
      <c r="OU215" s="6"/>
      <c r="OV215" s="6"/>
      <c r="OW215" s="6"/>
      <c r="OX215" s="6"/>
      <c r="OY215" s="6"/>
      <c r="OZ215" s="6"/>
      <c r="PA215" s="6"/>
      <c r="PB215" s="6"/>
      <c r="PC215" s="6"/>
      <c r="PD215" s="6"/>
      <c r="PE215" s="6"/>
      <c r="PF215" s="6"/>
      <c r="PG215" s="6"/>
      <c r="PH215" s="6"/>
      <c r="PI215" s="6"/>
      <c r="PJ215" s="6"/>
      <c r="PK215" s="6"/>
      <c r="PL215" s="6"/>
      <c r="PM215" s="6"/>
      <c r="PN215" s="6"/>
      <c r="PO215" s="6"/>
      <c r="PP215" s="6"/>
      <c r="PQ215" s="6"/>
      <c r="PR215" s="6"/>
      <c r="PS215" s="6"/>
      <c r="PT215" s="6"/>
      <c r="PU215" s="6"/>
      <c r="PV215" s="6"/>
      <c r="PW215" s="6"/>
      <c r="PX215" s="6"/>
      <c r="PY215" s="6"/>
      <c r="PZ215" s="6"/>
      <c r="QA215" s="6"/>
      <c r="QB215" s="6"/>
      <c r="QC215" s="6"/>
      <c r="QD215" s="6"/>
      <c r="QE215" s="6"/>
      <c r="QF215" s="6"/>
      <c r="QG215" s="6"/>
      <c r="QH215" s="6"/>
      <c r="QI215" s="6"/>
      <c r="QJ215" s="6"/>
      <c r="QK215" s="6"/>
      <c r="QL215" s="6"/>
      <c r="QM215" s="6"/>
      <c r="QN215" s="6"/>
      <c r="QO215" s="6"/>
      <c r="QP215" s="6"/>
      <c r="QQ215" s="6"/>
      <c r="QR215" s="6"/>
      <c r="QS215" s="6"/>
      <c r="QT215" s="6"/>
      <c r="QU215" s="6"/>
      <c r="QV215" s="6"/>
      <c r="QW215" s="6"/>
      <c r="QX215" s="6"/>
      <c r="QY215" s="6"/>
      <c r="QZ215" s="6"/>
      <c r="RA215" s="6"/>
      <c r="RB215" s="6"/>
      <c r="RC215" s="6"/>
      <c r="RD215" s="6"/>
      <c r="RE215" s="6"/>
      <c r="RF215" s="6"/>
      <c r="RG215" s="6"/>
      <c r="RH215" s="6"/>
      <c r="RI215" s="6"/>
      <c r="RJ215" s="6"/>
      <c r="RK215" s="6"/>
      <c r="RL215" s="6"/>
      <c r="RM215" s="6"/>
      <c r="RN215" s="6"/>
      <c r="RO215" s="6"/>
      <c r="RP215" s="6"/>
      <c r="RQ215" s="6"/>
      <c r="RR215" s="6"/>
      <c r="RS215" s="6"/>
      <c r="RT215" s="6"/>
      <c r="RU215" s="6"/>
      <c r="RV215" s="6"/>
      <c r="RW215" s="6"/>
      <c r="RX215" s="6"/>
      <c r="RY215" s="6"/>
      <c r="RZ215" s="6"/>
      <c r="SA215" s="6"/>
      <c r="SB215" s="6"/>
      <c r="SC215" s="6"/>
      <c r="SD215" s="6"/>
      <c r="SE215" s="6"/>
      <c r="SF215" s="6"/>
      <c r="SG215" s="6"/>
      <c r="SH215" s="6"/>
      <c r="SI215" s="6"/>
      <c r="SJ215" s="6"/>
      <c r="SK215" s="6"/>
      <c r="SL215" s="6"/>
      <c r="SM215" s="6"/>
      <c r="SN215" s="6"/>
      <c r="SO215" s="6"/>
      <c r="SP215" s="6"/>
      <c r="SQ215" s="6"/>
      <c r="SR215" s="6"/>
      <c r="SS215" s="6"/>
      <c r="ST215" s="6"/>
      <c r="SU215" s="6"/>
      <c r="SV215" s="6"/>
      <c r="SW215" s="6"/>
      <c r="SX215" s="6"/>
      <c r="SY215" s="6"/>
      <c r="SZ215" s="6"/>
      <c r="TA215" s="6"/>
      <c r="TB215" s="6"/>
      <c r="TC215" s="6"/>
      <c r="TD215" s="6"/>
      <c r="TE215" s="6"/>
      <c r="TF215" s="6"/>
      <c r="TG215" s="6"/>
      <c r="TH215" s="6"/>
      <c r="TI215" s="6"/>
      <c r="TJ215" s="6"/>
      <c r="TK215" s="6"/>
      <c r="TL215" s="6"/>
      <c r="TM215" s="6"/>
      <c r="TN215" s="6"/>
      <c r="TO215" s="6"/>
      <c r="TP215" s="6"/>
      <c r="TQ215" s="6"/>
      <c r="TR215" s="6"/>
      <c r="TS215" s="6"/>
      <c r="TT215" s="6"/>
      <c r="TU215" s="6"/>
      <c r="TV215" s="6"/>
      <c r="TW215" s="6"/>
      <c r="TX215" s="6"/>
      <c r="TY215" s="6"/>
      <c r="TZ215" s="6"/>
      <c r="UA215" s="6"/>
      <c r="UB215" s="6"/>
      <c r="UC215" s="6"/>
      <c r="UD215" s="6"/>
      <c r="UE215" s="6"/>
      <c r="UF215" s="6"/>
      <c r="UG215" s="6"/>
      <c r="UH215" s="6"/>
      <c r="UI215" s="6"/>
      <c r="UJ215" s="6"/>
      <c r="UK215" s="6"/>
      <c r="UL215" s="6"/>
      <c r="UM215" s="6"/>
      <c r="UN215" s="6"/>
      <c r="UO215" s="6"/>
      <c r="UP215" s="6"/>
      <c r="UQ215" s="6"/>
      <c r="UR215" s="6"/>
      <c r="US215" s="6"/>
      <c r="UT215" s="6"/>
      <c r="UU215" s="6"/>
      <c r="UV215" s="6"/>
      <c r="UW215" s="6"/>
      <c r="UX215" s="6"/>
      <c r="UY215" s="6"/>
      <c r="UZ215" s="6"/>
      <c r="VA215" s="6"/>
      <c r="VB215" s="6"/>
      <c r="VC215" s="6"/>
      <c r="VD215" s="6"/>
      <c r="VE215" s="6"/>
      <c r="VF215" s="6"/>
      <c r="VG215" s="6"/>
      <c r="VH215" s="6"/>
      <c r="VI215" s="6"/>
      <c r="VJ215" s="6"/>
      <c r="VK215" s="6"/>
      <c r="VL215" s="6"/>
      <c r="VM215" s="6"/>
      <c r="VN215" s="6"/>
      <c r="VO215" s="6"/>
      <c r="VP215" s="6"/>
      <c r="VQ215" s="6"/>
      <c r="VR215" s="6"/>
      <c r="VS215" s="6"/>
      <c r="VT215" s="6"/>
      <c r="VU215" s="6"/>
      <c r="VV215" s="6"/>
      <c r="VW215" s="6"/>
      <c r="VX215" s="6"/>
      <c r="VY215" s="6"/>
      <c r="VZ215" s="6"/>
      <c r="WA215" s="6"/>
      <c r="WB215" s="6"/>
      <c r="WC215" s="6"/>
      <c r="WD215" s="6"/>
      <c r="WE215" s="6"/>
      <c r="WF215" s="6"/>
      <c r="WG215" s="6"/>
      <c r="WH215" s="6"/>
      <c r="WI215" s="6"/>
      <c r="WJ215" s="6"/>
      <c r="WK215" s="6"/>
      <c r="WL215" s="6"/>
      <c r="WM215" s="6"/>
      <c r="WN215" s="6"/>
      <c r="WO215" s="6"/>
      <c r="WP215" s="6"/>
      <c r="WQ215" s="6"/>
      <c r="WR215" s="6"/>
      <c r="WS215" s="6"/>
      <c r="WT215" s="6"/>
      <c r="WU215" s="6"/>
      <c r="WV215" s="6"/>
      <c r="WW215" s="6"/>
      <c r="WX215" s="6"/>
      <c r="WY215" s="6"/>
      <c r="WZ215" s="6"/>
      <c r="XA215" s="6"/>
      <c r="XB215" s="6"/>
      <c r="XC215" s="6"/>
      <c r="XD215" s="6"/>
      <c r="XE215" s="6"/>
      <c r="XF215" s="6"/>
      <c r="XG215" s="6"/>
      <c r="XH215" s="6"/>
      <c r="XI215" s="6"/>
      <c r="XJ215" s="6"/>
      <c r="XK215" s="6"/>
      <c r="XL215" s="6"/>
      <c r="XM215" s="6"/>
      <c r="XN215" s="6"/>
      <c r="XO215" s="6"/>
      <c r="XP215" s="6"/>
      <c r="XQ215" s="6"/>
      <c r="XR215" s="6"/>
      <c r="XS215" s="6"/>
      <c r="XT215" s="6"/>
      <c r="XU215" s="6"/>
      <c r="XV215" s="6"/>
      <c r="XW215" s="6"/>
      <c r="XX215" s="6"/>
      <c r="XY215" s="6"/>
      <c r="XZ215" s="6"/>
      <c r="YA215" s="6"/>
      <c r="YB215" s="6"/>
      <c r="YC215" s="6"/>
      <c r="YD215" s="6"/>
      <c r="YE215" s="6"/>
      <c r="YF215" s="6"/>
      <c r="YG215" s="6"/>
      <c r="YH215" s="6"/>
      <c r="YI215" s="6"/>
      <c r="YJ215" s="6"/>
      <c r="YK215" s="6"/>
      <c r="YL215" s="6"/>
      <c r="YM215" s="6"/>
      <c r="YN215" s="6"/>
      <c r="YO215" s="6"/>
      <c r="YP215" s="6"/>
      <c r="YQ215" s="6"/>
      <c r="YR215" s="6"/>
      <c r="YS215" s="6"/>
      <c r="YT215" s="6"/>
      <c r="YU215" s="6"/>
      <c r="YV215" s="6"/>
      <c r="YW215" s="6"/>
      <c r="YX215" s="6"/>
      <c r="YY215" s="6"/>
      <c r="YZ215" s="6"/>
      <c r="ZA215" s="6"/>
      <c r="ZB215" s="6"/>
      <c r="ZC215" s="6"/>
      <c r="ZD215" s="6"/>
      <c r="ZE215" s="6"/>
      <c r="ZF215" s="6"/>
      <c r="ZG215" s="6"/>
      <c r="ZH215" s="6"/>
      <c r="ZI215" s="6"/>
      <c r="ZJ215" s="6"/>
      <c r="ZK215" s="6"/>
      <c r="ZL215" s="6"/>
      <c r="ZM215" s="6"/>
      <c r="ZN215" s="6"/>
      <c r="ZO215" s="6"/>
      <c r="ZP215" s="6"/>
      <c r="ZQ215" s="6"/>
      <c r="ZR215" s="6"/>
      <c r="ZS215" s="6"/>
      <c r="ZT215" s="6"/>
      <c r="ZU215" s="6"/>
      <c r="ZV215" s="6"/>
      <c r="ZW215" s="6"/>
      <c r="ZX215" s="6"/>
      <c r="ZY215" s="6"/>
      <c r="ZZ215" s="6"/>
      <c r="AAA215" s="6"/>
      <c r="AAB215" s="6"/>
      <c r="AAC215" s="6"/>
      <c r="AAD215" s="6"/>
      <c r="AAE215" s="6"/>
      <c r="AAF215" s="6"/>
      <c r="AAG215" s="6"/>
      <c r="AAH215" s="6"/>
      <c r="AAI215" s="6"/>
      <c r="AAJ215" s="6"/>
      <c r="AAK215" s="6"/>
      <c r="AAL215" s="6"/>
      <c r="AAM215" s="6"/>
      <c r="AAN215" s="6"/>
      <c r="AAO215" s="6"/>
      <c r="AAP215" s="6"/>
      <c r="AAQ215" s="6"/>
      <c r="AAR215" s="6"/>
      <c r="AAS215" s="6"/>
      <c r="AAT215" s="6"/>
      <c r="AAU215" s="6"/>
      <c r="AAV215" s="6"/>
      <c r="AAW215" s="6"/>
      <c r="AAX215" s="6"/>
      <c r="AAY215" s="6"/>
      <c r="AAZ215" s="6"/>
      <c r="ABA215" s="6"/>
      <c r="ABB215" s="6"/>
      <c r="ABC215" s="6"/>
      <c r="ABD215" s="6"/>
      <c r="ABE215" s="6"/>
      <c r="ABF215" s="6"/>
      <c r="ABG215" s="6"/>
      <c r="ABH215" s="6"/>
      <c r="ABI215" s="6"/>
      <c r="ABJ215" s="6"/>
      <c r="ABK215" s="6"/>
      <c r="ABL215" s="6"/>
      <c r="ABM215" s="6"/>
      <c r="ABN215" s="6"/>
      <c r="ABO215" s="6"/>
      <c r="ABP215" s="6"/>
      <c r="ABQ215" s="6"/>
      <c r="ABR215" s="6"/>
      <c r="ABS215" s="6"/>
      <c r="ABT215" s="6"/>
      <c r="ABU215" s="6"/>
      <c r="ABV215" s="6"/>
      <c r="ABW215" s="6"/>
      <c r="ABX215" s="6"/>
      <c r="ABY215" s="6"/>
      <c r="ABZ215" s="6"/>
      <c r="ACA215" s="6"/>
      <c r="ACB215" s="6"/>
      <c r="ACC215" s="6"/>
      <c r="ACD215" s="6"/>
      <c r="ACE215" s="6"/>
      <c r="ACF215" s="6"/>
      <c r="ACG215" s="6"/>
      <c r="ACH215" s="6"/>
      <c r="ACI215" s="6"/>
      <c r="ACJ215" s="6"/>
      <c r="ACK215" s="6"/>
      <c r="ACL215" s="6"/>
      <c r="ACM215" s="6"/>
      <c r="ACN215" s="6"/>
      <c r="ACO215" s="6"/>
      <c r="ACP215" s="6"/>
      <c r="ACQ215" s="6"/>
      <c r="ACR215" s="6"/>
      <c r="ACS215" s="6"/>
      <c r="ACT215" s="6"/>
      <c r="ACU215" s="6"/>
      <c r="ACV215" s="6"/>
      <c r="ACW215" s="6"/>
      <c r="ACX215" s="6"/>
      <c r="ACY215" s="6"/>
      <c r="ACZ215" s="6"/>
      <c r="ADA215" s="6"/>
      <c r="ADB215" s="6"/>
      <c r="ADC215" s="6"/>
      <c r="ADD215" s="6"/>
      <c r="ADE215" s="6"/>
      <c r="ADF215" s="6"/>
      <c r="ADG215" s="6"/>
      <c r="ADH215" s="6"/>
      <c r="ADI215" s="6"/>
      <c r="ADJ215" s="6"/>
    </row>
    <row r="216" spans="1:790" s="291" customFormat="1" x14ac:dyDescent="0.3">
      <c r="A216" s="399"/>
      <c r="B216" s="571" t="s">
        <v>146</v>
      </c>
      <c r="C216" s="366"/>
      <c r="D216" s="367"/>
      <c r="E216" s="367"/>
      <c r="F216" s="362"/>
      <c r="G216" s="362"/>
      <c r="H216" s="362">
        <f>J201</f>
        <v>92.8</v>
      </c>
      <c r="I216" s="369" t="s">
        <v>22</v>
      </c>
      <c r="J216" s="362"/>
      <c r="K216" s="363"/>
      <c r="L216" s="370"/>
      <c r="M216" s="490"/>
      <c r="N216" s="489" t="str">
        <f t="shared" si="222"/>
        <v/>
      </c>
      <c r="O216" s="308"/>
      <c r="Q216" s="497"/>
      <c r="R216" s="481"/>
      <c r="S216" s="514"/>
      <c r="T216" s="515" t="str">
        <f t="shared" si="226"/>
        <v/>
      </c>
      <c r="U216" s="482" t="str">
        <f t="shared" si="227"/>
        <v/>
      </c>
      <c r="V216" s="514"/>
      <c r="W216" s="515" t="str">
        <f t="shared" si="229"/>
        <v/>
      </c>
      <c r="X216" s="507"/>
      <c r="Y216" s="507"/>
      <c r="Z216" s="478"/>
      <c r="AA216" s="471"/>
      <c r="AB216" s="471"/>
      <c r="AC216" s="471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  <c r="IT216" s="6"/>
      <c r="IU216" s="6"/>
      <c r="IV216" s="6"/>
      <c r="IW216" s="6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6"/>
      <c r="KZ216" s="6"/>
      <c r="LA216" s="6"/>
      <c r="LB216" s="6"/>
      <c r="LC216" s="6"/>
      <c r="LD216" s="6"/>
      <c r="LE216" s="6"/>
      <c r="LF216" s="6"/>
      <c r="LG216" s="6"/>
      <c r="LH216" s="6"/>
      <c r="LI216" s="6"/>
      <c r="LJ216" s="6"/>
      <c r="LK216" s="6"/>
      <c r="LL216" s="6"/>
      <c r="LM216" s="6"/>
      <c r="LN216" s="6"/>
      <c r="LO216" s="6"/>
      <c r="LP216" s="6"/>
      <c r="LQ216" s="6"/>
      <c r="LR216" s="6"/>
      <c r="LS216" s="6"/>
      <c r="LT216" s="6"/>
      <c r="LU216" s="6"/>
      <c r="LV216" s="6"/>
      <c r="LW216" s="6"/>
      <c r="LX216" s="6"/>
      <c r="LY216" s="6"/>
      <c r="LZ216" s="6"/>
      <c r="MA216" s="6"/>
      <c r="MB216" s="6"/>
      <c r="MC216" s="6"/>
      <c r="MD216" s="6"/>
      <c r="ME216" s="6"/>
      <c r="MF216" s="6"/>
      <c r="MG216" s="6"/>
      <c r="MH216" s="6"/>
      <c r="MI216" s="6"/>
      <c r="MJ216" s="6"/>
      <c r="MK216" s="6"/>
      <c r="ML216" s="6"/>
      <c r="MM216" s="6"/>
      <c r="MN216" s="6"/>
      <c r="MO216" s="6"/>
      <c r="MP216" s="6"/>
      <c r="MQ216" s="6"/>
      <c r="MR216" s="6"/>
      <c r="MS216" s="6"/>
      <c r="MT216" s="6"/>
      <c r="MU216" s="6"/>
      <c r="MV216" s="6"/>
      <c r="MW216" s="6"/>
      <c r="MX216" s="6"/>
      <c r="MY216" s="6"/>
      <c r="MZ216" s="6"/>
      <c r="NA216" s="6"/>
      <c r="NB216" s="6"/>
      <c r="NC216" s="6"/>
      <c r="ND216" s="6"/>
      <c r="NE216" s="6"/>
      <c r="NF216" s="6"/>
      <c r="NG216" s="6"/>
      <c r="NH216" s="6"/>
      <c r="NI216" s="6"/>
      <c r="NJ216" s="6"/>
      <c r="NK216" s="6"/>
      <c r="NL216" s="6"/>
      <c r="NM216" s="6"/>
      <c r="NN216" s="6"/>
      <c r="NO216" s="6"/>
      <c r="NP216" s="6"/>
      <c r="NQ216" s="6"/>
      <c r="NR216" s="6"/>
      <c r="NS216" s="6"/>
      <c r="NT216" s="6"/>
      <c r="NU216" s="6"/>
      <c r="NV216" s="6"/>
      <c r="NW216" s="6"/>
      <c r="NX216" s="6"/>
      <c r="NY216" s="6"/>
      <c r="NZ216" s="6"/>
      <c r="OA216" s="6"/>
      <c r="OB216" s="6"/>
      <c r="OC216" s="6"/>
      <c r="OD216" s="6"/>
      <c r="OE216" s="6"/>
      <c r="OF216" s="6"/>
      <c r="OG216" s="6"/>
      <c r="OH216" s="6"/>
      <c r="OI216" s="6"/>
      <c r="OJ216" s="6"/>
      <c r="OK216" s="6"/>
      <c r="OL216" s="6"/>
      <c r="OM216" s="6"/>
      <c r="ON216" s="6"/>
      <c r="OO216" s="6"/>
      <c r="OP216" s="6"/>
      <c r="OQ216" s="6"/>
      <c r="OR216" s="6"/>
      <c r="OS216" s="6"/>
      <c r="OT216" s="6"/>
      <c r="OU216" s="6"/>
      <c r="OV216" s="6"/>
      <c r="OW216" s="6"/>
      <c r="OX216" s="6"/>
      <c r="OY216" s="6"/>
      <c r="OZ216" s="6"/>
      <c r="PA216" s="6"/>
      <c r="PB216" s="6"/>
      <c r="PC216" s="6"/>
      <c r="PD216" s="6"/>
      <c r="PE216" s="6"/>
      <c r="PF216" s="6"/>
      <c r="PG216" s="6"/>
      <c r="PH216" s="6"/>
      <c r="PI216" s="6"/>
      <c r="PJ216" s="6"/>
      <c r="PK216" s="6"/>
      <c r="PL216" s="6"/>
      <c r="PM216" s="6"/>
      <c r="PN216" s="6"/>
      <c r="PO216" s="6"/>
      <c r="PP216" s="6"/>
      <c r="PQ216" s="6"/>
      <c r="PR216" s="6"/>
      <c r="PS216" s="6"/>
      <c r="PT216" s="6"/>
      <c r="PU216" s="6"/>
      <c r="PV216" s="6"/>
      <c r="PW216" s="6"/>
      <c r="PX216" s="6"/>
      <c r="PY216" s="6"/>
      <c r="PZ216" s="6"/>
      <c r="QA216" s="6"/>
      <c r="QB216" s="6"/>
      <c r="QC216" s="6"/>
      <c r="QD216" s="6"/>
      <c r="QE216" s="6"/>
      <c r="QF216" s="6"/>
      <c r="QG216" s="6"/>
      <c r="QH216" s="6"/>
      <c r="QI216" s="6"/>
      <c r="QJ216" s="6"/>
      <c r="QK216" s="6"/>
      <c r="QL216" s="6"/>
      <c r="QM216" s="6"/>
      <c r="QN216" s="6"/>
      <c r="QO216" s="6"/>
      <c r="QP216" s="6"/>
      <c r="QQ216" s="6"/>
      <c r="QR216" s="6"/>
      <c r="QS216" s="6"/>
      <c r="QT216" s="6"/>
      <c r="QU216" s="6"/>
      <c r="QV216" s="6"/>
      <c r="QW216" s="6"/>
      <c r="QX216" s="6"/>
      <c r="QY216" s="6"/>
      <c r="QZ216" s="6"/>
      <c r="RA216" s="6"/>
      <c r="RB216" s="6"/>
      <c r="RC216" s="6"/>
      <c r="RD216" s="6"/>
      <c r="RE216" s="6"/>
      <c r="RF216" s="6"/>
      <c r="RG216" s="6"/>
      <c r="RH216" s="6"/>
      <c r="RI216" s="6"/>
      <c r="RJ216" s="6"/>
      <c r="RK216" s="6"/>
      <c r="RL216" s="6"/>
      <c r="RM216" s="6"/>
      <c r="RN216" s="6"/>
      <c r="RO216" s="6"/>
      <c r="RP216" s="6"/>
      <c r="RQ216" s="6"/>
      <c r="RR216" s="6"/>
      <c r="RS216" s="6"/>
      <c r="RT216" s="6"/>
      <c r="RU216" s="6"/>
      <c r="RV216" s="6"/>
      <c r="RW216" s="6"/>
      <c r="RX216" s="6"/>
      <c r="RY216" s="6"/>
      <c r="RZ216" s="6"/>
      <c r="SA216" s="6"/>
      <c r="SB216" s="6"/>
      <c r="SC216" s="6"/>
      <c r="SD216" s="6"/>
      <c r="SE216" s="6"/>
      <c r="SF216" s="6"/>
      <c r="SG216" s="6"/>
      <c r="SH216" s="6"/>
      <c r="SI216" s="6"/>
      <c r="SJ216" s="6"/>
      <c r="SK216" s="6"/>
      <c r="SL216" s="6"/>
      <c r="SM216" s="6"/>
      <c r="SN216" s="6"/>
      <c r="SO216" s="6"/>
      <c r="SP216" s="6"/>
      <c r="SQ216" s="6"/>
      <c r="SR216" s="6"/>
      <c r="SS216" s="6"/>
      <c r="ST216" s="6"/>
      <c r="SU216" s="6"/>
      <c r="SV216" s="6"/>
      <c r="SW216" s="6"/>
      <c r="SX216" s="6"/>
      <c r="SY216" s="6"/>
      <c r="SZ216" s="6"/>
      <c r="TA216" s="6"/>
      <c r="TB216" s="6"/>
      <c r="TC216" s="6"/>
      <c r="TD216" s="6"/>
      <c r="TE216" s="6"/>
      <c r="TF216" s="6"/>
      <c r="TG216" s="6"/>
      <c r="TH216" s="6"/>
      <c r="TI216" s="6"/>
      <c r="TJ216" s="6"/>
      <c r="TK216" s="6"/>
      <c r="TL216" s="6"/>
      <c r="TM216" s="6"/>
      <c r="TN216" s="6"/>
      <c r="TO216" s="6"/>
      <c r="TP216" s="6"/>
      <c r="TQ216" s="6"/>
      <c r="TR216" s="6"/>
      <c r="TS216" s="6"/>
      <c r="TT216" s="6"/>
      <c r="TU216" s="6"/>
      <c r="TV216" s="6"/>
      <c r="TW216" s="6"/>
      <c r="TX216" s="6"/>
      <c r="TY216" s="6"/>
      <c r="TZ216" s="6"/>
      <c r="UA216" s="6"/>
      <c r="UB216" s="6"/>
      <c r="UC216" s="6"/>
      <c r="UD216" s="6"/>
      <c r="UE216" s="6"/>
      <c r="UF216" s="6"/>
      <c r="UG216" s="6"/>
      <c r="UH216" s="6"/>
      <c r="UI216" s="6"/>
      <c r="UJ216" s="6"/>
      <c r="UK216" s="6"/>
      <c r="UL216" s="6"/>
      <c r="UM216" s="6"/>
      <c r="UN216" s="6"/>
      <c r="UO216" s="6"/>
      <c r="UP216" s="6"/>
      <c r="UQ216" s="6"/>
      <c r="UR216" s="6"/>
      <c r="US216" s="6"/>
      <c r="UT216" s="6"/>
      <c r="UU216" s="6"/>
      <c r="UV216" s="6"/>
      <c r="UW216" s="6"/>
      <c r="UX216" s="6"/>
      <c r="UY216" s="6"/>
      <c r="UZ216" s="6"/>
      <c r="VA216" s="6"/>
      <c r="VB216" s="6"/>
      <c r="VC216" s="6"/>
      <c r="VD216" s="6"/>
      <c r="VE216" s="6"/>
      <c r="VF216" s="6"/>
      <c r="VG216" s="6"/>
      <c r="VH216" s="6"/>
      <c r="VI216" s="6"/>
      <c r="VJ216" s="6"/>
      <c r="VK216" s="6"/>
      <c r="VL216" s="6"/>
      <c r="VM216" s="6"/>
      <c r="VN216" s="6"/>
      <c r="VO216" s="6"/>
      <c r="VP216" s="6"/>
      <c r="VQ216" s="6"/>
      <c r="VR216" s="6"/>
      <c r="VS216" s="6"/>
      <c r="VT216" s="6"/>
      <c r="VU216" s="6"/>
      <c r="VV216" s="6"/>
      <c r="VW216" s="6"/>
      <c r="VX216" s="6"/>
      <c r="VY216" s="6"/>
      <c r="VZ216" s="6"/>
      <c r="WA216" s="6"/>
      <c r="WB216" s="6"/>
      <c r="WC216" s="6"/>
      <c r="WD216" s="6"/>
      <c r="WE216" s="6"/>
      <c r="WF216" s="6"/>
      <c r="WG216" s="6"/>
      <c r="WH216" s="6"/>
      <c r="WI216" s="6"/>
      <c r="WJ216" s="6"/>
      <c r="WK216" s="6"/>
      <c r="WL216" s="6"/>
      <c r="WM216" s="6"/>
      <c r="WN216" s="6"/>
      <c r="WO216" s="6"/>
      <c r="WP216" s="6"/>
      <c r="WQ216" s="6"/>
      <c r="WR216" s="6"/>
      <c r="WS216" s="6"/>
      <c r="WT216" s="6"/>
      <c r="WU216" s="6"/>
      <c r="WV216" s="6"/>
      <c r="WW216" s="6"/>
      <c r="WX216" s="6"/>
      <c r="WY216" s="6"/>
      <c r="WZ216" s="6"/>
      <c r="XA216" s="6"/>
      <c r="XB216" s="6"/>
      <c r="XC216" s="6"/>
      <c r="XD216" s="6"/>
      <c r="XE216" s="6"/>
      <c r="XF216" s="6"/>
      <c r="XG216" s="6"/>
      <c r="XH216" s="6"/>
      <c r="XI216" s="6"/>
      <c r="XJ216" s="6"/>
      <c r="XK216" s="6"/>
      <c r="XL216" s="6"/>
      <c r="XM216" s="6"/>
      <c r="XN216" s="6"/>
      <c r="XO216" s="6"/>
      <c r="XP216" s="6"/>
      <c r="XQ216" s="6"/>
      <c r="XR216" s="6"/>
      <c r="XS216" s="6"/>
      <c r="XT216" s="6"/>
      <c r="XU216" s="6"/>
      <c r="XV216" s="6"/>
      <c r="XW216" s="6"/>
      <c r="XX216" s="6"/>
      <c r="XY216" s="6"/>
      <c r="XZ216" s="6"/>
      <c r="YA216" s="6"/>
      <c r="YB216" s="6"/>
      <c r="YC216" s="6"/>
      <c r="YD216" s="6"/>
      <c r="YE216" s="6"/>
      <c r="YF216" s="6"/>
      <c r="YG216" s="6"/>
      <c r="YH216" s="6"/>
      <c r="YI216" s="6"/>
      <c r="YJ216" s="6"/>
      <c r="YK216" s="6"/>
      <c r="YL216" s="6"/>
      <c r="YM216" s="6"/>
      <c r="YN216" s="6"/>
      <c r="YO216" s="6"/>
      <c r="YP216" s="6"/>
      <c r="YQ216" s="6"/>
      <c r="YR216" s="6"/>
      <c r="YS216" s="6"/>
      <c r="YT216" s="6"/>
      <c r="YU216" s="6"/>
      <c r="YV216" s="6"/>
      <c r="YW216" s="6"/>
      <c r="YX216" s="6"/>
      <c r="YY216" s="6"/>
      <c r="YZ216" s="6"/>
      <c r="ZA216" s="6"/>
      <c r="ZB216" s="6"/>
      <c r="ZC216" s="6"/>
      <c r="ZD216" s="6"/>
      <c r="ZE216" s="6"/>
      <c r="ZF216" s="6"/>
      <c r="ZG216" s="6"/>
      <c r="ZH216" s="6"/>
      <c r="ZI216" s="6"/>
      <c r="ZJ216" s="6"/>
      <c r="ZK216" s="6"/>
      <c r="ZL216" s="6"/>
      <c r="ZM216" s="6"/>
      <c r="ZN216" s="6"/>
      <c r="ZO216" s="6"/>
      <c r="ZP216" s="6"/>
      <c r="ZQ216" s="6"/>
      <c r="ZR216" s="6"/>
      <c r="ZS216" s="6"/>
      <c r="ZT216" s="6"/>
      <c r="ZU216" s="6"/>
      <c r="ZV216" s="6"/>
      <c r="ZW216" s="6"/>
      <c r="ZX216" s="6"/>
      <c r="ZY216" s="6"/>
      <c r="ZZ216" s="6"/>
      <c r="AAA216" s="6"/>
      <c r="AAB216" s="6"/>
      <c r="AAC216" s="6"/>
      <c r="AAD216" s="6"/>
      <c r="AAE216" s="6"/>
      <c r="AAF216" s="6"/>
      <c r="AAG216" s="6"/>
      <c r="AAH216" s="6"/>
      <c r="AAI216" s="6"/>
      <c r="AAJ216" s="6"/>
      <c r="AAK216" s="6"/>
      <c r="AAL216" s="6"/>
      <c r="AAM216" s="6"/>
      <c r="AAN216" s="6"/>
      <c r="AAO216" s="6"/>
      <c r="AAP216" s="6"/>
      <c r="AAQ216" s="6"/>
      <c r="AAR216" s="6"/>
      <c r="AAS216" s="6"/>
      <c r="AAT216" s="6"/>
      <c r="AAU216" s="6"/>
      <c r="AAV216" s="6"/>
      <c r="AAW216" s="6"/>
      <c r="AAX216" s="6"/>
      <c r="AAY216" s="6"/>
      <c r="AAZ216" s="6"/>
      <c r="ABA216" s="6"/>
      <c r="ABB216" s="6"/>
      <c r="ABC216" s="6"/>
      <c r="ABD216" s="6"/>
      <c r="ABE216" s="6"/>
      <c r="ABF216" s="6"/>
      <c r="ABG216" s="6"/>
      <c r="ABH216" s="6"/>
      <c r="ABI216" s="6"/>
      <c r="ABJ216" s="6"/>
      <c r="ABK216" s="6"/>
      <c r="ABL216" s="6"/>
      <c r="ABM216" s="6"/>
      <c r="ABN216" s="6"/>
      <c r="ABO216" s="6"/>
      <c r="ABP216" s="6"/>
      <c r="ABQ216" s="6"/>
      <c r="ABR216" s="6"/>
      <c r="ABS216" s="6"/>
      <c r="ABT216" s="6"/>
      <c r="ABU216" s="6"/>
      <c r="ABV216" s="6"/>
      <c r="ABW216" s="6"/>
      <c r="ABX216" s="6"/>
      <c r="ABY216" s="6"/>
      <c r="ABZ216" s="6"/>
      <c r="ACA216" s="6"/>
      <c r="ACB216" s="6"/>
      <c r="ACC216" s="6"/>
      <c r="ACD216" s="6"/>
      <c r="ACE216" s="6"/>
      <c r="ACF216" s="6"/>
      <c r="ACG216" s="6"/>
      <c r="ACH216" s="6"/>
      <c r="ACI216" s="6"/>
      <c r="ACJ216" s="6"/>
      <c r="ACK216" s="6"/>
      <c r="ACL216" s="6"/>
      <c r="ACM216" s="6"/>
      <c r="ACN216" s="6"/>
      <c r="ACO216" s="6"/>
      <c r="ACP216" s="6"/>
      <c r="ACQ216" s="6"/>
      <c r="ACR216" s="6"/>
      <c r="ACS216" s="6"/>
      <c r="ACT216" s="6"/>
      <c r="ACU216" s="6"/>
      <c r="ACV216" s="6"/>
      <c r="ACW216" s="6"/>
      <c r="ACX216" s="6"/>
      <c r="ACY216" s="6"/>
      <c r="ACZ216" s="6"/>
      <c r="ADA216" s="6"/>
      <c r="ADB216" s="6"/>
      <c r="ADC216" s="6"/>
      <c r="ADD216" s="6"/>
      <c r="ADE216" s="6"/>
      <c r="ADF216" s="6"/>
      <c r="ADG216" s="6"/>
      <c r="ADH216" s="6"/>
      <c r="ADI216" s="6"/>
      <c r="ADJ216" s="6"/>
    </row>
    <row r="217" spans="1:790" s="291" customFormat="1" x14ac:dyDescent="0.3">
      <c r="A217" s="399"/>
      <c r="B217" s="574" t="s">
        <v>148</v>
      </c>
      <c r="C217" s="434"/>
      <c r="D217" s="435"/>
      <c r="E217" s="435"/>
      <c r="F217" s="436"/>
      <c r="G217" s="436"/>
      <c r="H217" s="436">
        <f>-J204</f>
        <v>-2.3199999999999998</v>
      </c>
      <c r="I217" s="437" t="s">
        <v>22</v>
      </c>
      <c r="J217" s="362"/>
      <c r="K217" s="363"/>
      <c r="L217" s="370"/>
      <c r="M217" s="490"/>
      <c r="N217" s="489" t="str">
        <f t="shared" si="222"/>
        <v/>
      </c>
      <c r="O217" s="308"/>
      <c r="Q217" s="497"/>
      <c r="R217" s="481"/>
      <c r="S217" s="514"/>
      <c r="T217" s="515" t="str">
        <f t="shared" si="226"/>
        <v/>
      </c>
      <c r="U217" s="482" t="str">
        <f t="shared" si="227"/>
        <v/>
      </c>
      <c r="V217" s="514"/>
      <c r="W217" s="515" t="str">
        <f t="shared" si="229"/>
        <v/>
      </c>
      <c r="X217" s="507"/>
      <c r="Y217" s="507"/>
      <c r="Z217" s="478"/>
      <c r="AA217" s="471"/>
      <c r="AB217" s="471"/>
      <c r="AC217" s="471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6"/>
      <c r="KZ217" s="6"/>
      <c r="LA217" s="6"/>
      <c r="LB217" s="6"/>
      <c r="LC217" s="6"/>
      <c r="LD217" s="6"/>
      <c r="LE217" s="6"/>
      <c r="LF217" s="6"/>
      <c r="LG217" s="6"/>
      <c r="LH217" s="6"/>
      <c r="LI217" s="6"/>
      <c r="LJ217" s="6"/>
      <c r="LK217" s="6"/>
      <c r="LL217" s="6"/>
      <c r="LM217" s="6"/>
      <c r="LN217" s="6"/>
      <c r="LO217" s="6"/>
      <c r="LP217" s="6"/>
      <c r="LQ217" s="6"/>
      <c r="LR217" s="6"/>
      <c r="LS217" s="6"/>
      <c r="LT217" s="6"/>
      <c r="LU217" s="6"/>
      <c r="LV217" s="6"/>
      <c r="LW217" s="6"/>
      <c r="LX217" s="6"/>
      <c r="LY217" s="6"/>
      <c r="LZ217" s="6"/>
      <c r="MA217" s="6"/>
      <c r="MB217" s="6"/>
      <c r="MC217" s="6"/>
      <c r="MD217" s="6"/>
      <c r="ME217" s="6"/>
      <c r="MF217" s="6"/>
      <c r="MG217" s="6"/>
      <c r="MH217" s="6"/>
      <c r="MI217" s="6"/>
      <c r="MJ217" s="6"/>
      <c r="MK217" s="6"/>
      <c r="ML217" s="6"/>
      <c r="MM217" s="6"/>
      <c r="MN217" s="6"/>
      <c r="MO217" s="6"/>
      <c r="MP217" s="6"/>
      <c r="MQ217" s="6"/>
      <c r="MR217" s="6"/>
      <c r="MS217" s="6"/>
      <c r="MT217" s="6"/>
      <c r="MU217" s="6"/>
      <c r="MV217" s="6"/>
      <c r="MW217" s="6"/>
      <c r="MX217" s="6"/>
      <c r="MY217" s="6"/>
      <c r="MZ217" s="6"/>
      <c r="NA217" s="6"/>
      <c r="NB217" s="6"/>
      <c r="NC217" s="6"/>
      <c r="ND217" s="6"/>
      <c r="NE217" s="6"/>
      <c r="NF217" s="6"/>
      <c r="NG217" s="6"/>
      <c r="NH217" s="6"/>
      <c r="NI217" s="6"/>
      <c r="NJ217" s="6"/>
      <c r="NK217" s="6"/>
      <c r="NL217" s="6"/>
      <c r="NM217" s="6"/>
      <c r="NN217" s="6"/>
      <c r="NO217" s="6"/>
      <c r="NP217" s="6"/>
      <c r="NQ217" s="6"/>
      <c r="NR217" s="6"/>
      <c r="NS217" s="6"/>
      <c r="NT217" s="6"/>
      <c r="NU217" s="6"/>
      <c r="NV217" s="6"/>
      <c r="NW217" s="6"/>
      <c r="NX217" s="6"/>
      <c r="NY217" s="6"/>
      <c r="NZ217" s="6"/>
      <c r="OA217" s="6"/>
      <c r="OB217" s="6"/>
      <c r="OC217" s="6"/>
      <c r="OD217" s="6"/>
      <c r="OE217" s="6"/>
      <c r="OF217" s="6"/>
      <c r="OG217" s="6"/>
      <c r="OH217" s="6"/>
      <c r="OI217" s="6"/>
      <c r="OJ217" s="6"/>
      <c r="OK217" s="6"/>
      <c r="OL217" s="6"/>
      <c r="OM217" s="6"/>
      <c r="ON217" s="6"/>
      <c r="OO217" s="6"/>
      <c r="OP217" s="6"/>
      <c r="OQ217" s="6"/>
      <c r="OR217" s="6"/>
      <c r="OS217" s="6"/>
      <c r="OT217" s="6"/>
      <c r="OU217" s="6"/>
      <c r="OV217" s="6"/>
      <c r="OW217" s="6"/>
      <c r="OX217" s="6"/>
      <c r="OY217" s="6"/>
      <c r="OZ217" s="6"/>
      <c r="PA217" s="6"/>
      <c r="PB217" s="6"/>
      <c r="PC217" s="6"/>
      <c r="PD217" s="6"/>
      <c r="PE217" s="6"/>
      <c r="PF217" s="6"/>
      <c r="PG217" s="6"/>
      <c r="PH217" s="6"/>
      <c r="PI217" s="6"/>
      <c r="PJ217" s="6"/>
      <c r="PK217" s="6"/>
      <c r="PL217" s="6"/>
      <c r="PM217" s="6"/>
      <c r="PN217" s="6"/>
      <c r="PO217" s="6"/>
      <c r="PP217" s="6"/>
      <c r="PQ217" s="6"/>
      <c r="PR217" s="6"/>
      <c r="PS217" s="6"/>
      <c r="PT217" s="6"/>
      <c r="PU217" s="6"/>
      <c r="PV217" s="6"/>
      <c r="PW217" s="6"/>
      <c r="PX217" s="6"/>
      <c r="PY217" s="6"/>
      <c r="PZ217" s="6"/>
      <c r="QA217" s="6"/>
      <c r="QB217" s="6"/>
      <c r="QC217" s="6"/>
      <c r="QD217" s="6"/>
      <c r="QE217" s="6"/>
      <c r="QF217" s="6"/>
      <c r="QG217" s="6"/>
      <c r="QH217" s="6"/>
      <c r="QI217" s="6"/>
      <c r="QJ217" s="6"/>
      <c r="QK217" s="6"/>
      <c r="QL217" s="6"/>
      <c r="QM217" s="6"/>
      <c r="QN217" s="6"/>
      <c r="QO217" s="6"/>
      <c r="QP217" s="6"/>
      <c r="QQ217" s="6"/>
      <c r="QR217" s="6"/>
      <c r="QS217" s="6"/>
      <c r="QT217" s="6"/>
      <c r="QU217" s="6"/>
      <c r="QV217" s="6"/>
      <c r="QW217" s="6"/>
      <c r="QX217" s="6"/>
      <c r="QY217" s="6"/>
      <c r="QZ217" s="6"/>
      <c r="RA217" s="6"/>
      <c r="RB217" s="6"/>
      <c r="RC217" s="6"/>
      <c r="RD217" s="6"/>
      <c r="RE217" s="6"/>
      <c r="RF217" s="6"/>
      <c r="RG217" s="6"/>
      <c r="RH217" s="6"/>
      <c r="RI217" s="6"/>
      <c r="RJ217" s="6"/>
      <c r="RK217" s="6"/>
      <c r="RL217" s="6"/>
      <c r="RM217" s="6"/>
      <c r="RN217" s="6"/>
      <c r="RO217" s="6"/>
      <c r="RP217" s="6"/>
      <c r="RQ217" s="6"/>
      <c r="RR217" s="6"/>
      <c r="RS217" s="6"/>
      <c r="RT217" s="6"/>
      <c r="RU217" s="6"/>
      <c r="RV217" s="6"/>
      <c r="RW217" s="6"/>
      <c r="RX217" s="6"/>
      <c r="RY217" s="6"/>
      <c r="RZ217" s="6"/>
      <c r="SA217" s="6"/>
      <c r="SB217" s="6"/>
      <c r="SC217" s="6"/>
      <c r="SD217" s="6"/>
      <c r="SE217" s="6"/>
      <c r="SF217" s="6"/>
      <c r="SG217" s="6"/>
      <c r="SH217" s="6"/>
      <c r="SI217" s="6"/>
      <c r="SJ217" s="6"/>
      <c r="SK217" s="6"/>
      <c r="SL217" s="6"/>
      <c r="SM217" s="6"/>
      <c r="SN217" s="6"/>
      <c r="SO217" s="6"/>
      <c r="SP217" s="6"/>
      <c r="SQ217" s="6"/>
      <c r="SR217" s="6"/>
      <c r="SS217" s="6"/>
      <c r="ST217" s="6"/>
      <c r="SU217" s="6"/>
      <c r="SV217" s="6"/>
      <c r="SW217" s="6"/>
      <c r="SX217" s="6"/>
      <c r="SY217" s="6"/>
      <c r="SZ217" s="6"/>
      <c r="TA217" s="6"/>
      <c r="TB217" s="6"/>
      <c r="TC217" s="6"/>
      <c r="TD217" s="6"/>
      <c r="TE217" s="6"/>
      <c r="TF217" s="6"/>
      <c r="TG217" s="6"/>
      <c r="TH217" s="6"/>
      <c r="TI217" s="6"/>
      <c r="TJ217" s="6"/>
      <c r="TK217" s="6"/>
      <c r="TL217" s="6"/>
      <c r="TM217" s="6"/>
      <c r="TN217" s="6"/>
      <c r="TO217" s="6"/>
      <c r="TP217" s="6"/>
      <c r="TQ217" s="6"/>
      <c r="TR217" s="6"/>
      <c r="TS217" s="6"/>
      <c r="TT217" s="6"/>
      <c r="TU217" s="6"/>
      <c r="TV217" s="6"/>
      <c r="TW217" s="6"/>
      <c r="TX217" s="6"/>
      <c r="TY217" s="6"/>
      <c r="TZ217" s="6"/>
      <c r="UA217" s="6"/>
      <c r="UB217" s="6"/>
      <c r="UC217" s="6"/>
      <c r="UD217" s="6"/>
      <c r="UE217" s="6"/>
      <c r="UF217" s="6"/>
      <c r="UG217" s="6"/>
      <c r="UH217" s="6"/>
      <c r="UI217" s="6"/>
      <c r="UJ217" s="6"/>
      <c r="UK217" s="6"/>
      <c r="UL217" s="6"/>
      <c r="UM217" s="6"/>
      <c r="UN217" s="6"/>
      <c r="UO217" s="6"/>
      <c r="UP217" s="6"/>
      <c r="UQ217" s="6"/>
      <c r="UR217" s="6"/>
      <c r="US217" s="6"/>
      <c r="UT217" s="6"/>
      <c r="UU217" s="6"/>
      <c r="UV217" s="6"/>
      <c r="UW217" s="6"/>
      <c r="UX217" s="6"/>
      <c r="UY217" s="6"/>
      <c r="UZ217" s="6"/>
      <c r="VA217" s="6"/>
      <c r="VB217" s="6"/>
      <c r="VC217" s="6"/>
      <c r="VD217" s="6"/>
      <c r="VE217" s="6"/>
      <c r="VF217" s="6"/>
      <c r="VG217" s="6"/>
      <c r="VH217" s="6"/>
      <c r="VI217" s="6"/>
      <c r="VJ217" s="6"/>
      <c r="VK217" s="6"/>
      <c r="VL217" s="6"/>
      <c r="VM217" s="6"/>
      <c r="VN217" s="6"/>
      <c r="VO217" s="6"/>
      <c r="VP217" s="6"/>
      <c r="VQ217" s="6"/>
      <c r="VR217" s="6"/>
      <c r="VS217" s="6"/>
      <c r="VT217" s="6"/>
      <c r="VU217" s="6"/>
      <c r="VV217" s="6"/>
      <c r="VW217" s="6"/>
      <c r="VX217" s="6"/>
      <c r="VY217" s="6"/>
      <c r="VZ217" s="6"/>
      <c r="WA217" s="6"/>
      <c r="WB217" s="6"/>
      <c r="WC217" s="6"/>
      <c r="WD217" s="6"/>
      <c r="WE217" s="6"/>
      <c r="WF217" s="6"/>
      <c r="WG217" s="6"/>
      <c r="WH217" s="6"/>
      <c r="WI217" s="6"/>
      <c r="WJ217" s="6"/>
      <c r="WK217" s="6"/>
      <c r="WL217" s="6"/>
      <c r="WM217" s="6"/>
      <c r="WN217" s="6"/>
      <c r="WO217" s="6"/>
      <c r="WP217" s="6"/>
      <c r="WQ217" s="6"/>
      <c r="WR217" s="6"/>
      <c r="WS217" s="6"/>
      <c r="WT217" s="6"/>
      <c r="WU217" s="6"/>
      <c r="WV217" s="6"/>
      <c r="WW217" s="6"/>
      <c r="WX217" s="6"/>
      <c r="WY217" s="6"/>
      <c r="WZ217" s="6"/>
      <c r="XA217" s="6"/>
      <c r="XB217" s="6"/>
      <c r="XC217" s="6"/>
      <c r="XD217" s="6"/>
      <c r="XE217" s="6"/>
      <c r="XF217" s="6"/>
      <c r="XG217" s="6"/>
      <c r="XH217" s="6"/>
      <c r="XI217" s="6"/>
      <c r="XJ217" s="6"/>
      <c r="XK217" s="6"/>
      <c r="XL217" s="6"/>
      <c r="XM217" s="6"/>
      <c r="XN217" s="6"/>
      <c r="XO217" s="6"/>
      <c r="XP217" s="6"/>
      <c r="XQ217" s="6"/>
      <c r="XR217" s="6"/>
      <c r="XS217" s="6"/>
      <c r="XT217" s="6"/>
      <c r="XU217" s="6"/>
      <c r="XV217" s="6"/>
      <c r="XW217" s="6"/>
      <c r="XX217" s="6"/>
      <c r="XY217" s="6"/>
      <c r="XZ217" s="6"/>
      <c r="YA217" s="6"/>
      <c r="YB217" s="6"/>
      <c r="YC217" s="6"/>
      <c r="YD217" s="6"/>
      <c r="YE217" s="6"/>
      <c r="YF217" s="6"/>
      <c r="YG217" s="6"/>
      <c r="YH217" s="6"/>
      <c r="YI217" s="6"/>
      <c r="YJ217" s="6"/>
      <c r="YK217" s="6"/>
      <c r="YL217" s="6"/>
      <c r="YM217" s="6"/>
      <c r="YN217" s="6"/>
      <c r="YO217" s="6"/>
      <c r="YP217" s="6"/>
      <c r="YQ217" s="6"/>
      <c r="YR217" s="6"/>
      <c r="YS217" s="6"/>
      <c r="YT217" s="6"/>
      <c r="YU217" s="6"/>
      <c r="YV217" s="6"/>
      <c r="YW217" s="6"/>
      <c r="YX217" s="6"/>
      <c r="YY217" s="6"/>
      <c r="YZ217" s="6"/>
      <c r="ZA217" s="6"/>
      <c r="ZB217" s="6"/>
      <c r="ZC217" s="6"/>
      <c r="ZD217" s="6"/>
      <c r="ZE217" s="6"/>
      <c r="ZF217" s="6"/>
      <c r="ZG217" s="6"/>
      <c r="ZH217" s="6"/>
      <c r="ZI217" s="6"/>
      <c r="ZJ217" s="6"/>
      <c r="ZK217" s="6"/>
      <c r="ZL217" s="6"/>
      <c r="ZM217" s="6"/>
      <c r="ZN217" s="6"/>
      <c r="ZO217" s="6"/>
      <c r="ZP217" s="6"/>
      <c r="ZQ217" s="6"/>
      <c r="ZR217" s="6"/>
      <c r="ZS217" s="6"/>
      <c r="ZT217" s="6"/>
      <c r="ZU217" s="6"/>
      <c r="ZV217" s="6"/>
      <c r="ZW217" s="6"/>
      <c r="ZX217" s="6"/>
      <c r="ZY217" s="6"/>
      <c r="ZZ217" s="6"/>
      <c r="AAA217" s="6"/>
      <c r="AAB217" s="6"/>
      <c r="AAC217" s="6"/>
      <c r="AAD217" s="6"/>
      <c r="AAE217" s="6"/>
      <c r="AAF217" s="6"/>
      <c r="AAG217" s="6"/>
      <c r="AAH217" s="6"/>
      <c r="AAI217" s="6"/>
      <c r="AAJ217" s="6"/>
      <c r="AAK217" s="6"/>
      <c r="AAL217" s="6"/>
      <c r="AAM217" s="6"/>
      <c r="AAN217" s="6"/>
      <c r="AAO217" s="6"/>
      <c r="AAP217" s="6"/>
      <c r="AAQ217" s="6"/>
      <c r="AAR217" s="6"/>
      <c r="AAS217" s="6"/>
      <c r="AAT217" s="6"/>
      <c r="AAU217" s="6"/>
      <c r="AAV217" s="6"/>
      <c r="AAW217" s="6"/>
      <c r="AAX217" s="6"/>
      <c r="AAY217" s="6"/>
      <c r="AAZ217" s="6"/>
      <c r="ABA217" s="6"/>
      <c r="ABB217" s="6"/>
      <c r="ABC217" s="6"/>
      <c r="ABD217" s="6"/>
      <c r="ABE217" s="6"/>
      <c r="ABF217" s="6"/>
      <c r="ABG217" s="6"/>
      <c r="ABH217" s="6"/>
      <c r="ABI217" s="6"/>
      <c r="ABJ217" s="6"/>
      <c r="ABK217" s="6"/>
      <c r="ABL217" s="6"/>
      <c r="ABM217" s="6"/>
      <c r="ABN217" s="6"/>
      <c r="ABO217" s="6"/>
      <c r="ABP217" s="6"/>
      <c r="ABQ217" s="6"/>
      <c r="ABR217" s="6"/>
      <c r="ABS217" s="6"/>
      <c r="ABT217" s="6"/>
      <c r="ABU217" s="6"/>
      <c r="ABV217" s="6"/>
      <c r="ABW217" s="6"/>
      <c r="ABX217" s="6"/>
      <c r="ABY217" s="6"/>
      <c r="ABZ217" s="6"/>
      <c r="ACA217" s="6"/>
      <c r="ACB217" s="6"/>
      <c r="ACC217" s="6"/>
      <c r="ACD217" s="6"/>
      <c r="ACE217" s="6"/>
      <c r="ACF217" s="6"/>
      <c r="ACG217" s="6"/>
      <c r="ACH217" s="6"/>
      <c r="ACI217" s="6"/>
      <c r="ACJ217" s="6"/>
      <c r="ACK217" s="6"/>
      <c r="ACL217" s="6"/>
      <c r="ACM217" s="6"/>
      <c r="ACN217" s="6"/>
      <c r="ACO217" s="6"/>
      <c r="ACP217" s="6"/>
      <c r="ACQ217" s="6"/>
      <c r="ACR217" s="6"/>
      <c r="ACS217" s="6"/>
      <c r="ACT217" s="6"/>
      <c r="ACU217" s="6"/>
      <c r="ACV217" s="6"/>
      <c r="ACW217" s="6"/>
      <c r="ACX217" s="6"/>
      <c r="ACY217" s="6"/>
      <c r="ACZ217" s="6"/>
      <c r="ADA217" s="6"/>
      <c r="ADB217" s="6"/>
      <c r="ADC217" s="6"/>
      <c r="ADD217" s="6"/>
      <c r="ADE217" s="6"/>
      <c r="ADF217" s="6"/>
      <c r="ADG217" s="6"/>
      <c r="ADH217" s="6"/>
      <c r="ADI217" s="6"/>
      <c r="ADJ217" s="6"/>
    </row>
    <row r="218" spans="1:790" s="291" customFormat="1" x14ac:dyDescent="0.3">
      <c r="A218" s="399"/>
      <c r="B218" s="574" t="s">
        <v>149</v>
      </c>
      <c r="C218" s="434"/>
      <c r="D218" s="435"/>
      <c r="E218" s="435"/>
      <c r="F218" s="436"/>
      <c r="G218" s="436"/>
      <c r="H218" s="436">
        <f>-J207</f>
        <v>-4.6399999999999997</v>
      </c>
      <c r="I218" s="437" t="s">
        <v>22</v>
      </c>
      <c r="J218" s="362"/>
      <c r="K218" s="363"/>
      <c r="L218" s="370"/>
      <c r="M218" s="490"/>
      <c r="N218" s="489" t="str">
        <f t="shared" si="222"/>
        <v/>
      </c>
      <c r="O218" s="308"/>
      <c r="Q218" s="497"/>
      <c r="R218" s="481"/>
      <c r="S218" s="514"/>
      <c r="T218" s="515" t="str">
        <f t="shared" si="226"/>
        <v/>
      </c>
      <c r="U218" s="482" t="str">
        <f t="shared" si="227"/>
        <v/>
      </c>
      <c r="V218" s="514"/>
      <c r="W218" s="515" t="str">
        <f t="shared" si="229"/>
        <v/>
      </c>
      <c r="X218" s="507"/>
      <c r="Y218" s="507"/>
      <c r="Z218" s="478"/>
      <c r="AA218" s="471"/>
      <c r="AB218" s="471"/>
      <c r="AC218" s="471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6"/>
      <c r="KZ218" s="6"/>
      <c r="LA218" s="6"/>
      <c r="LB218" s="6"/>
      <c r="LC218" s="6"/>
      <c r="LD218" s="6"/>
      <c r="LE218" s="6"/>
      <c r="LF218" s="6"/>
      <c r="LG218" s="6"/>
      <c r="LH218" s="6"/>
      <c r="LI218" s="6"/>
      <c r="LJ218" s="6"/>
      <c r="LK218" s="6"/>
      <c r="LL218" s="6"/>
      <c r="LM218" s="6"/>
      <c r="LN218" s="6"/>
      <c r="LO218" s="6"/>
      <c r="LP218" s="6"/>
      <c r="LQ218" s="6"/>
      <c r="LR218" s="6"/>
      <c r="LS218" s="6"/>
      <c r="LT218" s="6"/>
      <c r="LU218" s="6"/>
      <c r="LV218" s="6"/>
      <c r="LW218" s="6"/>
      <c r="LX218" s="6"/>
      <c r="LY218" s="6"/>
      <c r="LZ218" s="6"/>
      <c r="MA218" s="6"/>
      <c r="MB218" s="6"/>
      <c r="MC218" s="6"/>
      <c r="MD218" s="6"/>
      <c r="ME218" s="6"/>
      <c r="MF218" s="6"/>
      <c r="MG218" s="6"/>
      <c r="MH218" s="6"/>
      <c r="MI218" s="6"/>
      <c r="MJ218" s="6"/>
      <c r="MK218" s="6"/>
      <c r="ML218" s="6"/>
      <c r="MM218" s="6"/>
      <c r="MN218" s="6"/>
      <c r="MO218" s="6"/>
      <c r="MP218" s="6"/>
      <c r="MQ218" s="6"/>
      <c r="MR218" s="6"/>
      <c r="MS218" s="6"/>
      <c r="MT218" s="6"/>
      <c r="MU218" s="6"/>
      <c r="MV218" s="6"/>
      <c r="MW218" s="6"/>
      <c r="MX218" s="6"/>
      <c r="MY218" s="6"/>
      <c r="MZ218" s="6"/>
      <c r="NA218" s="6"/>
      <c r="NB218" s="6"/>
      <c r="NC218" s="6"/>
      <c r="ND218" s="6"/>
      <c r="NE218" s="6"/>
      <c r="NF218" s="6"/>
      <c r="NG218" s="6"/>
      <c r="NH218" s="6"/>
      <c r="NI218" s="6"/>
      <c r="NJ218" s="6"/>
      <c r="NK218" s="6"/>
      <c r="NL218" s="6"/>
      <c r="NM218" s="6"/>
      <c r="NN218" s="6"/>
      <c r="NO218" s="6"/>
      <c r="NP218" s="6"/>
      <c r="NQ218" s="6"/>
      <c r="NR218" s="6"/>
      <c r="NS218" s="6"/>
      <c r="NT218" s="6"/>
      <c r="NU218" s="6"/>
      <c r="NV218" s="6"/>
      <c r="NW218" s="6"/>
      <c r="NX218" s="6"/>
      <c r="NY218" s="6"/>
      <c r="NZ218" s="6"/>
      <c r="OA218" s="6"/>
      <c r="OB218" s="6"/>
      <c r="OC218" s="6"/>
      <c r="OD218" s="6"/>
      <c r="OE218" s="6"/>
      <c r="OF218" s="6"/>
      <c r="OG218" s="6"/>
      <c r="OH218" s="6"/>
      <c r="OI218" s="6"/>
      <c r="OJ218" s="6"/>
      <c r="OK218" s="6"/>
      <c r="OL218" s="6"/>
      <c r="OM218" s="6"/>
      <c r="ON218" s="6"/>
      <c r="OO218" s="6"/>
      <c r="OP218" s="6"/>
      <c r="OQ218" s="6"/>
      <c r="OR218" s="6"/>
      <c r="OS218" s="6"/>
      <c r="OT218" s="6"/>
      <c r="OU218" s="6"/>
      <c r="OV218" s="6"/>
      <c r="OW218" s="6"/>
      <c r="OX218" s="6"/>
      <c r="OY218" s="6"/>
      <c r="OZ218" s="6"/>
      <c r="PA218" s="6"/>
      <c r="PB218" s="6"/>
      <c r="PC218" s="6"/>
      <c r="PD218" s="6"/>
      <c r="PE218" s="6"/>
      <c r="PF218" s="6"/>
      <c r="PG218" s="6"/>
      <c r="PH218" s="6"/>
      <c r="PI218" s="6"/>
      <c r="PJ218" s="6"/>
      <c r="PK218" s="6"/>
      <c r="PL218" s="6"/>
      <c r="PM218" s="6"/>
      <c r="PN218" s="6"/>
      <c r="PO218" s="6"/>
      <c r="PP218" s="6"/>
      <c r="PQ218" s="6"/>
      <c r="PR218" s="6"/>
      <c r="PS218" s="6"/>
      <c r="PT218" s="6"/>
      <c r="PU218" s="6"/>
      <c r="PV218" s="6"/>
      <c r="PW218" s="6"/>
      <c r="PX218" s="6"/>
      <c r="PY218" s="6"/>
      <c r="PZ218" s="6"/>
      <c r="QA218" s="6"/>
      <c r="QB218" s="6"/>
      <c r="QC218" s="6"/>
      <c r="QD218" s="6"/>
      <c r="QE218" s="6"/>
      <c r="QF218" s="6"/>
      <c r="QG218" s="6"/>
      <c r="QH218" s="6"/>
      <c r="QI218" s="6"/>
      <c r="QJ218" s="6"/>
      <c r="QK218" s="6"/>
      <c r="QL218" s="6"/>
      <c r="QM218" s="6"/>
      <c r="QN218" s="6"/>
      <c r="QO218" s="6"/>
      <c r="QP218" s="6"/>
      <c r="QQ218" s="6"/>
      <c r="QR218" s="6"/>
      <c r="QS218" s="6"/>
      <c r="QT218" s="6"/>
      <c r="QU218" s="6"/>
      <c r="QV218" s="6"/>
      <c r="QW218" s="6"/>
      <c r="QX218" s="6"/>
      <c r="QY218" s="6"/>
      <c r="QZ218" s="6"/>
      <c r="RA218" s="6"/>
      <c r="RB218" s="6"/>
      <c r="RC218" s="6"/>
      <c r="RD218" s="6"/>
      <c r="RE218" s="6"/>
      <c r="RF218" s="6"/>
      <c r="RG218" s="6"/>
      <c r="RH218" s="6"/>
      <c r="RI218" s="6"/>
      <c r="RJ218" s="6"/>
      <c r="RK218" s="6"/>
      <c r="RL218" s="6"/>
      <c r="RM218" s="6"/>
      <c r="RN218" s="6"/>
      <c r="RO218" s="6"/>
      <c r="RP218" s="6"/>
      <c r="RQ218" s="6"/>
      <c r="RR218" s="6"/>
      <c r="RS218" s="6"/>
      <c r="RT218" s="6"/>
      <c r="RU218" s="6"/>
      <c r="RV218" s="6"/>
      <c r="RW218" s="6"/>
      <c r="RX218" s="6"/>
      <c r="RY218" s="6"/>
      <c r="RZ218" s="6"/>
      <c r="SA218" s="6"/>
      <c r="SB218" s="6"/>
      <c r="SC218" s="6"/>
      <c r="SD218" s="6"/>
      <c r="SE218" s="6"/>
      <c r="SF218" s="6"/>
      <c r="SG218" s="6"/>
      <c r="SH218" s="6"/>
      <c r="SI218" s="6"/>
      <c r="SJ218" s="6"/>
      <c r="SK218" s="6"/>
      <c r="SL218" s="6"/>
      <c r="SM218" s="6"/>
      <c r="SN218" s="6"/>
      <c r="SO218" s="6"/>
      <c r="SP218" s="6"/>
      <c r="SQ218" s="6"/>
      <c r="SR218" s="6"/>
      <c r="SS218" s="6"/>
      <c r="ST218" s="6"/>
      <c r="SU218" s="6"/>
      <c r="SV218" s="6"/>
      <c r="SW218" s="6"/>
      <c r="SX218" s="6"/>
      <c r="SY218" s="6"/>
      <c r="SZ218" s="6"/>
      <c r="TA218" s="6"/>
      <c r="TB218" s="6"/>
      <c r="TC218" s="6"/>
      <c r="TD218" s="6"/>
      <c r="TE218" s="6"/>
      <c r="TF218" s="6"/>
      <c r="TG218" s="6"/>
      <c r="TH218" s="6"/>
      <c r="TI218" s="6"/>
      <c r="TJ218" s="6"/>
      <c r="TK218" s="6"/>
      <c r="TL218" s="6"/>
      <c r="TM218" s="6"/>
      <c r="TN218" s="6"/>
      <c r="TO218" s="6"/>
      <c r="TP218" s="6"/>
      <c r="TQ218" s="6"/>
      <c r="TR218" s="6"/>
      <c r="TS218" s="6"/>
      <c r="TT218" s="6"/>
      <c r="TU218" s="6"/>
      <c r="TV218" s="6"/>
      <c r="TW218" s="6"/>
      <c r="TX218" s="6"/>
      <c r="TY218" s="6"/>
      <c r="TZ218" s="6"/>
      <c r="UA218" s="6"/>
      <c r="UB218" s="6"/>
      <c r="UC218" s="6"/>
      <c r="UD218" s="6"/>
      <c r="UE218" s="6"/>
      <c r="UF218" s="6"/>
      <c r="UG218" s="6"/>
      <c r="UH218" s="6"/>
      <c r="UI218" s="6"/>
      <c r="UJ218" s="6"/>
      <c r="UK218" s="6"/>
      <c r="UL218" s="6"/>
      <c r="UM218" s="6"/>
      <c r="UN218" s="6"/>
      <c r="UO218" s="6"/>
      <c r="UP218" s="6"/>
      <c r="UQ218" s="6"/>
      <c r="UR218" s="6"/>
      <c r="US218" s="6"/>
      <c r="UT218" s="6"/>
      <c r="UU218" s="6"/>
      <c r="UV218" s="6"/>
      <c r="UW218" s="6"/>
      <c r="UX218" s="6"/>
      <c r="UY218" s="6"/>
      <c r="UZ218" s="6"/>
      <c r="VA218" s="6"/>
      <c r="VB218" s="6"/>
      <c r="VC218" s="6"/>
      <c r="VD218" s="6"/>
      <c r="VE218" s="6"/>
      <c r="VF218" s="6"/>
      <c r="VG218" s="6"/>
      <c r="VH218" s="6"/>
      <c r="VI218" s="6"/>
      <c r="VJ218" s="6"/>
      <c r="VK218" s="6"/>
      <c r="VL218" s="6"/>
      <c r="VM218" s="6"/>
      <c r="VN218" s="6"/>
      <c r="VO218" s="6"/>
      <c r="VP218" s="6"/>
      <c r="VQ218" s="6"/>
      <c r="VR218" s="6"/>
      <c r="VS218" s="6"/>
      <c r="VT218" s="6"/>
      <c r="VU218" s="6"/>
      <c r="VV218" s="6"/>
      <c r="VW218" s="6"/>
      <c r="VX218" s="6"/>
      <c r="VY218" s="6"/>
      <c r="VZ218" s="6"/>
      <c r="WA218" s="6"/>
      <c r="WB218" s="6"/>
      <c r="WC218" s="6"/>
      <c r="WD218" s="6"/>
      <c r="WE218" s="6"/>
      <c r="WF218" s="6"/>
      <c r="WG218" s="6"/>
      <c r="WH218" s="6"/>
      <c r="WI218" s="6"/>
      <c r="WJ218" s="6"/>
      <c r="WK218" s="6"/>
      <c r="WL218" s="6"/>
      <c r="WM218" s="6"/>
      <c r="WN218" s="6"/>
      <c r="WO218" s="6"/>
      <c r="WP218" s="6"/>
      <c r="WQ218" s="6"/>
      <c r="WR218" s="6"/>
      <c r="WS218" s="6"/>
      <c r="WT218" s="6"/>
      <c r="WU218" s="6"/>
      <c r="WV218" s="6"/>
      <c r="WW218" s="6"/>
      <c r="WX218" s="6"/>
      <c r="WY218" s="6"/>
      <c r="WZ218" s="6"/>
      <c r="XA218" s="6"/>
      <c r="XB218" s="6"/>
      <c r="XC218" s="6"/>
      <c r="XD218" s="6"/>
      <c r="XE218" s="6"/>
      <c r="XF218" s="6"/>
      <c r="XG218" s="6"/>
      <c r="XH218" s="6"/>
      <c r="XI218" s="6"/>
      <c r="XJ218" s="6"/>
      <c r="XK218" s="6"/>
      <c r="XL218" s="6"/>
      <c r="XM218" s="6"/>
      <c r="XN218" s="6"/>
      <c r="XO218" s="6"/>
      <c r="XP218" s="6"/>
      <c r="XQ218" s="6"/>
      <c r="XR218" s="6"/>
      <c r="XS218" s="6"/>
      <c r="XT218" s="6"/>
      <c r="XU218" s="6"/>
      <c r="XV218" s="6"/>
      <c r="XW218" s="6"/>
      <c r="XX218" s="6"/>
      <c r="XY218" s="6"/>
      <c r="XZ218" s="6"/>
      <c r="YA218" s="6"/>
      <c r="YB218" s="6"/>
      <c r="YC218" s="6"/>
      <c r="YD218" s="6"/>
      <c r="YE218" s="6"/>
      <c r="YF218" s="6"/>
      <c r="YG218" s="6"/>
      <c r="YH218" s="6"/>
      <c r="YI218" s="6"/>
      <c r="YJ218" s="6"/>
      <c r="YK218" s="6"/>
      <c r="YL218" s="6"/>
      <c r="YM218" s="6"/>
      <c r="YN218" s="6"/>
      <c r="YO218" s="6"/>
      <c r="YP218" s="6"/>
      <c r="YQ218" s="6"/>
      <c r="YR218" s="6"/>
      <c r="YS218" s="6"/>
      <c r="YT218" s="6"/>
      <c r="YU218" s="6"/>
      <c r="YV218" s="6"/>
      <c r="YW218" s="6"/>
      <c r="YX218" s="6"/>
      <c r="YY218" s="6"/>
      <c r="YZ218" s="6"/>
      <c r="ZA218" s="6"/>
      <c r="ZB218" s="6"/>
      <c r="ZC218" s="6"/>
      <c r="ZD218" s="6"/>
      <c r="ZE218" s="6"/>
      <c r="ZF218" s="6"/>
      <c r="ZG218" s="6"/>
      <c r="ZH218" s="6"/>
      <c r="ZI218" s="6"/>
      <c r="ZJ218" s="6"/>
      <c r="ZK218" s="6"/>
      <c r="ZL218" s="6"/>
      <c r="ZM218" s="6"/>
      <c r="ZN218" s="6"/>
      <c r="ZO218" s="6"/>
      <c r="ZP218" s="6"/>
      <c r="ZQ218" s="6"/>
      <c r="ZR218" s="6"/>
      <c r="ZS218" s="6"/>
      <c r="ZT218" s="6"/>
      <c r="ZU218" s="6"/>
      <c r="ZV218" s="6"/>
      <c r="ZW218" s="6"/>
      <c r="ZX218" s="6"/>
      <c r="ZY218" s="6"/>
      <c r="ZZ218" s="6"/>
      <c r="AAA218" s="6"/>
      <c r="AAB218" s="6"/>
      <c r="AAC218" s="6"/>
      <c r="AAD218" s="6"/>
      <c r="AAE218" s="6"/>
      <c r="AAF218" s="6"/>
      <c r="AAG218" s="6"/>
      <c r="AAH218" s="6"/>
      <c r="AAI218" s="6"/>
      <c r="AAJ218" s="6"/>
      <c r="AAK218" s="6"/>
      <c r="AAL218" s="6"/>
      <c r="AAM218" s="6"/>
      <c r="AAN218" s="6"/>
      <c r="AAO218" s="6"/>
      <c r="AAP218" s="6"/>
      <c r="AAQ218" s="6"/>
      <c r="AAR218" s="6"/>
      <c r="AAS218" s="6"/>
      <c r="AAT218" s="6"/>
      <c r="AAU218" s="6"/>
      <c r="AAV218" s="6"/>
      <c r="AAW218" s="6"/>
      <c r="AAX218" s="6"/>
      <c r="AAY218" s="6"/>
      <c r="AAZ218" s="6"/>
      <c r="ABA218" s="6"/>
      <c r="ABB218" s="6"/>
      <c r="ABC218" s="6"/>
      <c r="ABD218" s="6"/>
      <c r="ABE218" s="6"/>
      <c r="ABF218" s="6"/>
      <c r="ABG218" s="6"/>
      <c r="ABH218" s="6"/>
      <c r="ABI218" s="6"/>
      <c r="ABJ218" s="6"/>
      <c r="ABK218" s="6"/>
      <c r="ABL218" s="6"/>
      <c r="ABM218" s="6"/>
      <c r="ABN218" s="6"/>
      <c r="ABO218" s="6"/>
      <c r="ABP218" s="6"/>
      <c r="ABQ218" s="6"/>
      <c r="ABR218" s="6"/>
      <c r="ABS218" s="6"/>
      <c r="ABT218" s="6"/>
      <c r="ABU218" s="6"/>
      <c r="ABV218" s="6"/>
      <c r="ABW218" s="6"/>
      <c r="ABX218" s="6"/>
      <c r="ABY218" s="6"/>
      <c r="ABZ218" s="6"/>
      <c r="ACA218" s="6"/>
      <c r="ACB218" s="6"/>
      <c r="ACC218" s="6"/>
      <c r="ACD218" s="6"/>
      <c r="ACE218" s="6"/>
      <c r="ACF218" s="6"/>
      <c r="ACG218" s="6"/>
      <c r="ACH218" s="6"/>
      <c r="ACI218" s="6"/>
      <c r="ACJ218" s="6"/>
      <c r="ACK218" s="6"/>
      <c r="ACL218" s="6"/>
      <c r="ACM218" s="6"/>
      <c r="ACN218" s="6"/>
      <c r="ACO218" s="6"/>
      <c r="ACP218" s="6"/>
      <c r="ACQ218" s="6"/>
      <c r="ACR218" s="6"/>
      <c r="ACS218" s="6"/>
      <c r="ACT218" s="6"/>
      <c r="ACU218" s="6"/>
      <c r="ACV218" s="6"/>
      <c r="ACW218" s="6"/>
      <c r="ACX218" s="6"/>
      <c r="ACY218" s="6"/>
      <c r="ACZ218" s="6"/>
      <c r="ADA218" s="6"/>
      <c r="ADB218" s="6"/>
      <c r="ADC218" s="6"/>
      <c r="ADD218" s="6"/>
      <c r="ADE218" s="6"/>
      <c r="ADF218" s="6"/>
      <c r="ADG218" s="6"/>
      <c r="ADH218" s="6"/>
      <c r="ADI218" s="6"/>
      <c r="ADJ218" s="6"/>
    </row>
    <row r="219" spans="1:790" s="291" customFormat="1" x14ac:dyDescent="0.3">
      <c r="A219" s="399"/>
      <c r="B219" s="574" t="s">
        <v>147</v>
      </c>
      <c r="C219" s="434"/>
      <c r="D219" s="435">
        <v>5.7</v>
      </c>
      <c r="E219" s="435">
        <v>2.46</v>
      </c>
      <c r="F219" s="436"/>
      <c r="G219" s="436">
        <v>2.7</v>
      </c>
      <c r="H219" s="436">
        <f>-PRODUCT(C219:G219)</f>
        <v>-37.859400000000001</v>
      </c>
      <c r="I219" s="437" t="s">
        <v>22</v>
      </c>
      <c r="J219" s="362"/>
      <c r="K219" s="363"/>
      <c r="L219" s="370"/>
      <c r="M219" s="490"/>
      <c r="N219" s="489" t="str">
        <f t="shared" si="222"/>
        <v/>
      </c>
      <c r="O219" s="308"/>
      <c r="Q219" s="497"/>
      <c r="R219" s="481"/>
      <c r="S219" s="514"/>
      <c r="T219" s="515" t="str">
        <f t="shared" si="226"/>
        <v/>
      </c>
      <c r="U219" s="482" t="str">
        <f t="shared" si="227"/>
        <v/>
      </c>
      <c r="V219" s="514"/>
      <c r="W219" s="515" t="str">
        <f t="shared" si="229"/>
        <v/>
      </c>
      <c r="X219" s="507"/>
      <c r="Y219" s="507"/>
      <c r="Z219" s="478"/>
      <c r="AA219" s="471"/>
      <c r="AB219" s="471"/>
      <c r="AC219" s="471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6"/>
      <c r="KZ219" s="6"/>
      <c r="LA219" s="6"/>
      <c r="LB219" s="6"/>
      <c r="LC219" s="6"/>
      <c r="LD219" s="6"/>
      <c r="LE219" s="6"/>
      <c r="LF219" s="6"/>
      <c r="LG219" s="6"/>
      <c r="LH219" s="6"/>
      <c r="LI219" s="6"/>
      <c r="LJ219" s="6"/>
      <c r="LK219" s="6"/>
      <c r="LL219" s="6"/>
      <c r="LM219" s="6"/>
      <c r="LN219" s="6"/>
      <c r="LO219" s="6"/>
      <c r="LP219" s="6"/>
      <c r="LQ219" s="6"/>
      <c r="LR219" s="6"/>
      <c r="LS219" s="6"/>
      <c r="LT219" s="6"/>
      <c r="LU219" s="6"/>
      <c r="LV219" s="6"/>
      <c r="LW219" s="6"/>
      <c r="LX219" s="6"/>
      <c r="LY219" s="6"/>
      <c r="LZ219" s="6"/>
      <c r="MA219" s="6"/>
      <c r="MB219" s="6"/>
      <c r="MC219" s="6"/>
      <c r="MD219" s="6"/>
      <c r="ME219" s="6"/>
      <c r="MF219" s="6"/>
      <c r="MG219" s="6"/>
      <c r="MH219" s="6"/>
      <c r="MI219" s="6"/>
      <c r="MJ219" s="6"/>
      <c r="MK219" s="6"/>
      <c r="ML219" s="6"/>
      <c r="MM219" s="6"/>
      <c r="MN219" s="6"/>
      <c r="MO219" s="6"/>
      <c r="MP219" s="6"/>
      <c r="MQ219" s="6"/>
      <c r="MR219" s="6"/>
      <c r="MS219" s="6"/>
      <c r="MT219" s="6"/>
      <c r="MU219" s="6"/>
      <c r="MV219" s="6"/>
      <c r="MW219" s="6"/>
      <c r="MX219" s="6"/>
      <c r="MY219" s="6"/>
      <c r="MZ219" s="6"/>
      <c r="NA219" s="6"/>
      <c r="NB219" s="6"/>
      <c r="NC219" s="6"/>
      <c r="ND219" s="6"/>
      <c r="NE219" s="6"/>
      <c r="NF219" s="6"/>
      <c r="NG219" s="6"/>
      <c r="NH219" s="6"/>
      <c r="NI219" s="6"/>
      <c r="NJ219" s="6"/>
      <c r="NK219" s="6"/>
      <c r="NL219" s="6"/>
      <c r="NM219" s="6"/>
      <c r="NN219" s="6"/>
      <c r="NO219" s="6"/>
      <c r="NP219" s="6"/>
      <c r="NQ219" s="6"/>
      <c r="NR219" s="6"/>
      <c r="NS219" s="6"/>
      <c r="NT219" s="6"/>
      <c r="NU219" s="6"/>
      <c r="NV219" s="6"/>
      <c r="NW219" s="6"/>
      <c r="NX219" s="6"/>
      <c r="NY219" s="6"/>
      <c r="NZ219" s="6"/>
      <c r="OA219" s="6"/>
      <c r="OB219" s="6"/>
      <c r="OC219" s="6"/>
      <c r="OD219" s="6"/>
      <c r="OE219" s="6"/>
      <c r="OF219" s="6"/>
      <c r="OG219" s="6"/>
      <c r="OH219" s="6"/>
      <c r="OI219" s="6"/>
      <c r="OJ219" s="6"/>
      <c r="OK219" s="6"/>
      <c r="OL219" s="6"/>
      <c r="OM219" s="6"/>
      <c r="ON219" s="6"/>
      <c r="OO219" s="6"/>
      <c r="OP219" s="6"/>
      <c r="OQ219" s="6"/>
      <c r="OR219" s="6"/>
      <c r="OS219" s="6"/>
      <c r="OT219" s="6"/>
      <c r="OU219" s="6"/>
      <c r="OV219" s="6"/>
      <c r="OW219" s="6"/>
      <c r="OX219" s="6"/>
      <c r="OY219" s="6"/>
      <c r="OZ219" s="6"/>
      <c r="PA219" s="6"/>
      <c r="PB219" s="6"/>
      <c r="PC219" s="6"/>
      <c r="PD219" s="6"/>
      <c r="PE219" s="6"/>
      <c r="PF219" s="6"/>
      <c r="PG219" s="6"/>
      <c r="PH219" s="6"/>
      <c r="PI219" s="6"/>
      <c r="PJ219" s="6"/>
      <c r="PK219" s="6"/>
      <c r="PL219" s="6"/>
      <c r="PM219" s="6"/>
      <c r="PN219" s="6"/>
      <c r="PO219" s="6"/>
      <c r="PP219" s="6"/>
      <c r="PQ219" s="6"/>
      <c r="PR219" s="6"/>
      <c r="PS219" s="6"/>
      <c r="PT219" s="6"/>
      <c r="PU219" s="6"/>
      <c r="PV219" s="6"/>
      <c r="PW219" s="6"/>
      <c r="PX219" s="6"/>
      <c r="PY219" s="6"/>
      <c r="PZ219" s="6"/>
      <c r="QA219" s="6"/>
      <c r="QB219" s="6"/>
      <c r="QC219" s="6"/>
      <c r="QD219" s="6"/>
      <c r="QE219" s="6"/>
      <c r="QF219" s="6"/>
      <c r="QG219" s="6"/>
      <c r="QH219" s="6"/>
      <c r="QI219" s="6"/>
      <c r="QJ219" s="6"/>
      <c r="QK219" s="6"/>
      <c r="QL219" s="6"/>
      <c r="QM219" s="6"/>
      <c r="QN219" s="6"/>
      <c r="QO219" s="6"/>
      <c r="QP219" s="6"/>
      <c r="QQ219" s="6"/>
      <c r="QR219" s="6"/>
      <c r="QS219" s="6"/>
      <c r="QT219" s="6"/>
      <c r="QU219" s="6"/>
      <c r="QV219" s="6"/>
      <c r="QW219" s="6"/>
      <c r="QX219" s="6"/>
      <c r="QY219" s="6"/>
      <c r="QZ219" s="6"/>
      <c r="RA219" s="6"/>
      <c r="RB219" s="6"/>
      <c r="RC219" s="6"/>
      <c r="RD219" s="6"/>
      <c r="RE219" s="6"/>
      <c r="RF219" s="6"/>
      <c r="RG219" s="6"/>
      <c r="RH219" s="6"/>
      <c r="RI219" s="6"/>
      <c r="RJ219" s="6"/>
      <c r="RK219" s="6"/>
      <c r="RL219" s="6"/>
      <c r="RM219" s="6"/>
      <c r="RN219" s="6"/>
      <c r="RO219" s="6"/>
      <c r="RP219" s="6"/>
      <c r="RQ219" s="6"/>
      <c r="RR219" s="6"/>
      <c r="RS219" s="6"/>
      <c r="RT219" s="6"/>
      <c r="RU219" s="6"/>
      <c r="RV219" s="6"/>
      <c r="RW219" s="6"/>
      <c r="RX219" s="6"/>
      <c r="RY219" s="6"/>
      <c r="RZ219" s="6"/>
      <c r="SA219" s="6"/>
      <c r="SB219" s="6"/>
      <c r="SC219" s="6"/>
      <c r="SD219" s="6"/>
      <c r="SE219" s="6"/>
      <c r="SF219" s="6"/>
      <c r="SG219" s="6"/>
      <c r="SH219" s="6"/>
      <c r="SI219" s="6"/>
      <c r="SJ219" s="6"/>
      <c r="SK219" s="6"/>
      <c r="SL219" s="6"/>
      <c r="SM219" s="6"/>
      <c r="SN219" s="6"/>
      <c r="SO219" s="6"/>
      <c r="SP219" s="6"/>
      <c r="SQ219" s="6"/>
      <c r="SR219" s="6"/>
      <c r="SS219" s="6"/>
      <c r="ST219" s="6"/>
      <c r="SU219" s="6"/>
      <c r="SV219" s="6"/>
      <c r="SW219" s="6"/>
      <c r="SX219" s="6"/>
      <c r="SY219" s="6"/>
      <c r="SZ219" s="6"/>
      <c r="TA219" s="6"/>
      <c r="TB219" s="6"/>
      <c r="TC219" s="6"/>
      <c r="TD219" s="6"/>
      <c r="TE219" s="6"/>
      <c r="TF219" s="6"/>
      <c r="TG219" s="6"/>
      <c r="TH219" s="6"/>
      <c r="TI219" s="6"/>
      <c r="TJ219" s="6"/>
      <c r="TK219" s="6"/>
      <c r="TL219" s="6"/>
      <c r="TM219" s="6"/>
      <c r="TN219" s="6"/>
      <c r="TO219" s="6"/>
      <c r="TP219" s="6"/>
      <c r="TQ219" s="6"/>
      <c r="TR219" s="6"/>
      <c r="TS219" s="6"/>
      <c r="TT219" s="6"/>
      <c r="TU219" s="6"/>
      <c r="TV219" s="6"/>
      <c r="TW219" s="6"/>
      <c r="TX219" s="6"/>
      <c r="TY219" s="6"/>
      <c r="TZ219" s="6"/>
      <c r="UA219" s="6"/>
      <c r="UB219" s="6"/>
      <c r="UC219" s="6"/>
      <c r="UD219" s="6"/>
      <c r="UE219" s="6"/>
      <c r="UF219" s="6"/>
      <c r="UG219" s="6"/>
      <c r="UH219" s="6"/>
      <c r="UI219" s="6"/>
      <c r="UJ219" s="6"/>
      <c r="UK219" s="6"/>
      <c r="UL219" s="6"/>
      <c r="UM219" s="6"/>
      <c r="UN219" s="6"/>
      <c r="UO219" s="6"/>
      <c r="UP219" s="6"/>
      <c r="UQ219" s="6"/>
      <c r="UR219" s="6"/>
      <c r="US219" s="6"/>
      <c r="UT219" s="6"/>
      <c r="UU219" s="6"/>
      <c r="UV219" s="6"/>
      <c r="UW219" s="6"/>
      <c r="UX219" s="6"/>
      <c r="UY219" s="6"/>
      <c r="UZ219" s="6"/>
      <c r="VA219" s="6"/>
      <c r="VB219" s="6"/>
      <c r="VC219" s="6"/>
      <c r="VD219" s="6"/>
      <c r="VE219" s="6"/>
      <c r="VF219" s="6"/>
      <c r="VG219" s="6"/>
      <c r="VH219" s="6"/>
      <c r="VI219" s="6"/>
      <c r="VJ219" s="6"/>
      <c r="VK219" s="6"/>
      <c r="VL219" s="6"/>
      <c r="VM219" s="6"/>
      <c r="VN219" s="6"/>
      <c r="VO219" s="6"/>
      <c r="VP219" s="6"/>
      <c r="VQ219" s="6"/>
      <c r="VR219" s="6"/>
      <c r="VS219" s="6"/>
      <c r="VT219" s="6"/>
      <c r="VU219" s="6"/>
      <c r="VV219" s="6"/>
      <c r="VW219" s="6"/>
      <c r="VX219" s="6"/>
      <c r="VY219" s="6"/>
      <c r="VZ219" s="6"/>
      <c r="WA219" s="6"/>
      <c r="WB219" s="6"/>
      <c r="WC219" s="6"/>
      <c r="WD219" s="6"/>
      <c r="WE219" s="6"/>
      <c r="WF219" s="6"/>
      <c r="WG219" s="6"/>
      <c r="WH219" s="6"/>
      <c r="WI219" s="6"/>
      <c r="WJ219" s="6"/>
      <c r="WK219" s="6"/>
      <c r="WL219" s="6"/>
      <c r="WM219" s="6"/>
      <c r="WN219" s="6"/>
      <c r="WO219" s="6"/>
      <c r="WP219" s="6"/>
      <c r="WQ219" s="6"/>
      <c r="WR219" s="6"/>
      <c r="WS219" s="6"/>
      <c r="WT219" s="6"/>
      <c r="WU219" s="6"/>
      <c r="WV219" s="6"/>
      <c r="WW219" s="6"/>
      <c r="WX219" s="6"/>
      <c r="WY219" s="6"/>
      <c r="WZ219" s="6"/>
      <c r="XA219" s="6"/>
      <c r="XB219" s="6"/>
      <c r="XC219" s="6"/>
      <c r="XD219" s="6"/>
      <c r="XE219" s="6"/>
      <c r="XF219" s="6"/>
      <c r="XG219" s="6"/>
      <c r="XH219" s="6"/>
      <c r="XI219" s="6"/>
      <c r="XJ219" s="6"/>
      <c r="XK219" s="6"/>
      <c r="XL219" s="6"/>
      <c r="XM219" s="6"/>
      <c r="XN219" s="6"/>
      <c r="XO219" s="6"/>
      <c r="XP219" s="6"/>
      <c r="XQ219" s="6"/>
      <c r="XR219" s="6"/>
      <c r="XS219" s="6"/>
      <c r="XT219" s="6"/>
      <c r="XU219" s="6"/>
      <c r="XV219" s="6"/>
      <c r="XW219" s="6"/>
      <c r="XX219" s="6"/>
      <c r="XY219" s="6"/>
      <c r="XZ219" s="6"/>
      <c r="YA219" s="6"/>
      <c r="YB219" s="6"/>
      <c r="YC219" s="6"/>
      <c r="YD219" s="6"/>
      <c r="YE219" s="6"/>
      <c r="YF219" s="6"/>
      <c r="YG219" s="6"/>
      <c r="YH219" s="6"/>
      <c r="YI219" s="6"/>
      <c r="YJ219" s="6"/>
      <c r="YK219" s="6"/>
      <c r="YL219" s="6"/>
      <c r="YM219" s="6"/>
      <c r="YN219" s="6"/>
      <c r="YO219" s="6"/>
      <c r="YP219" s="6"/>
      <c r="YQ219" s="6"/>
      <c r="YR219" s="6"/>
      <c r="YS219" s="6"/>
      <c r="YT219" s="6"/>
      <c r="YU219" s="6"/>
      <c r="YV219" s="6"/>
      <c r="YW219" s="6"/>
      <c r="YX219" s="6"/>
      <c r="YY219" s="6"/>
      <c r="YZ219" s="6"/>
      <c r="ZA219" s="6"/>
      <c r="ZB219" s="6"/>
      <c r="ZC219" s="6"/>
      <c r="ZD219" s="6"/>
      <c r="ZE219" s="6"/>
      <c r="ZF219" s="6"/>
      <c r="ZG219" s="6"/>
      <c r="ZH219" s="6"/>
      <c r="ZI219" s="6"/>
      <c r="ZJ219" s="6"/>
      <c r="ZK219" s="6"/>
      <c r="ZL219" s="6"/>
      <c r="ZM219" s="6"/>
      <c r="ZN219" s="6"/>
      <c r="ZO219" s="6"/>
      <c r="ZP219" s="6"/>
      <c r="ZQ219" s="6"/>
      <c r="ZR219" s="6"/>
      <c r="ZS219" s="6"/>
      <c r="ZT219" s="6"/>
      <c r="ZU219" s="6"/>
      <c r="ZV219" s="6"/>
      <c r="ZW219" s="6"/>
      <c r="ZX219" s="6"/>
      <c r="ZY219" s="6"/>
      <c r="ZZ219" s="6"/>
      <c r="AAA219" s="6"/>
      <c r="AAB219" s="6"/>
      <c r="AAC219" s="6"/>
      <c r="AAD219" s="6"/>
      <c r="AAE219" s="6"/>
      <c r="AAF219" s="6"/>
      <c r="AAG219" s="6"/>
      <c r="AAH219" s="6"/>
      <c r="AAI219" s="6"/>
      <c r="AAJ219" s="6"/>
      <c r="AAK219" s="6"/>
      <c r="AAL219" s="6"/>
      <c r="AAM219" s="6"/>
      <c r="AAN219" s="6"/>
      <c r="AAO219" s="6"/>
      <c r="AAP219" s="6"/>
      <c r="AAQ219" s="6"/>
      <c r="AAR219" s="6"/>
      <c r="AAS219" s="6"/>
      <c r="AAT219" s="6"/>
      <c r="AAU219" s="6"/>
      <c r="AAV219" s="6"/>
      <c r="AAW219" s="6"/>
      <c r="AAX219" s="6"/>
      <c r="AAY219" s="6"/>
      <c r="AAZ219" s="6"/>
      <c r="ABA219" s="6"/>
      <c r="ABB219" s="6"/>
      <c r="ABC219" s="6"/>
      <c r="ABD219" s="6"/>
      <c r="ABE219" s="6"/>
      <c r="ABF219" s="6"/>
      <c r="ABG219" s="6"/>
      <c r="ABH219" s="6"/>
      <c r="ABI219" s="6"/>
      <c r="ABJ219" s="6"/>
      <c r="ABK219" s="6"/>
      <c r="ABL219" s="6"/>
      <c r="ABM219" s="6"/>
      <c r="ABN219" s="6"/>
      <c r="ABO219" s="6"/>
      <c r="ABP219" s="6"/>
      <c r="ABQ219" s="6"/>
      <c r="ABR219" s="6"/>
      <c r="ABS219" s="6"/>
      <c r="ABT219" s="6"/>
      <c r="ABU219" s="6"/>
      <c r="ABV219" s="6"/>
      <c r="ABW219" s="6"/>
      <c r="ABX219" s="6"/>
      <c r="ABY219" s="6"/>
      <c r="ABZ219" s="6"/>
      <c r="ACA219" s="6"/>
      <c r="ACB219" s="6"/>
      <c r="ACC219" s="6"/>
      <c r="ACD219" s="6"/>
      <c r="ACE219" s="6"/>
      <c r="ACF219" s="6"/>
      <c r="ACG219" s="6"/>
      <c r="ACH219" s="6"/>
      <c r="ACI219" s="6"/>
      <c r="ACJ219" s="6"/>
      <c r="ACK219" s="6"/>
      <c r="ACL219" s="6"/>
      <c r="ACM219" s="6"/>
      <c r="ACN219" s="6"/>
      <c r="ACO219" s="6"/>
      <c r="ACP219" s="6"/>
      <c r="ACQ219" s="6"/>
      <c r="ACR219" s="6"/>
      <c r="ACS219" s="6"/>
      <c r="ACT219" s="6"/>
      <c r="ACU219" s="6"/>
      <c r="ACV219" s="6"/>
      <c r="ACW219" s="6"/>
      <c r="ACX219" s="6"/>
      <c r="ACY219" s="6"/>
      <c r="ACZ219" s="6"/>
      <c r="ADA219" s="6"/>
      <c r="ADB219" s="6"/>
      <c r="ADC219" s="6"/>
      <c r="ADD219" s="6"/>
      <c r="ADE219" s="6"/>
      <c r="ADF219" s="6"/>
      <c r="ADG219" s="6"/>
      <c r="ADH219" s="6"/>
      <c r="ADI219" s="6"/>
      <c r="ADJ219" s="6"/>
    </row>
    <row r="220" spans="1:790" s="291" customFormat="1" x14ac:dyDescent="0.3">
      <c r="A220" s="399"/>
      <c r="B220" s="575" t="s">
        <v>150</v>
      </c>
      <c r="C220" s="427"/>
      <c r="D220" s="427"/>
      <c r="E220" s="427"/>
      <c r="F220" s="427"/>
      <c r="G220" s="427"/>
      <c r="H220" s="427">
        <f>SUM(H216:H219)</f>
        <v>47.980600000000003</v>
      </c>
      <c r="I220" s="369" t="s">
        <v>22</v>
      </c>
      <c r="J220" s="403">
        <f>H220</f>
        <v>47.980600000000003</v>
      </c>
      <c r="K220" s="363">
        <v>5</v>
      </c>
      <c r="L220" s="370">
        <f t="shared" ref="L220" si="230">J220*K220</f>
        <v>239.90300000000002</v>
      </c>
      <c r="M220" s="490">
        <f t="shared" ref="M220" si="231">K220*(100%-16.5%)</f>
        <v>4.1749999999999998</v>
      </c>
      <c r="N220" s="489">
        <f t="shared" si="222"/>
        <v>200.319005</v>
      </c>
      <c r="O220" s="308"/>
      <c r="Q220" s="497"/>
      <c r="R220" s="481">
        <f t="shared" si="225"/>
        <v>47.980600000000003</v>
      </c>
      <c r="S220" s="514">
        <f>S196</f>
        <v>2.5</v>
      </c>
      <c r="T220" s="515">
        <f t="shared" si="226"/>
        <v>119.95150000000001</v>
      </c>
      <c r="U220" s="482">
        <f t="shared" si="227"/>
        <v>47.980600000000003</v>
      </c>
      <c r="V220" s="514"/>
      <c r="W220" s="515" t="str">
        <f t="shared" si="229"/>
        <v/>
      </c>
      <c r="X220" s="507">
        <f t="shared" ref="X220" si="232">V220+S220</f>
        <v>2.5</v>
      </c>
      <c r="Y220" s="520">
        <f t="shared" ref="Y220" si="233">M220-X220</f>
        <v>1.6749999999999998</v>
      </c>
      <c r="Z220" s="521">
        <f t="shared" ref="Z220" si="234">Y220/M220</f>
        <v>0.40119760479041916</v>
      </c>
      <c r="AA220" s="471"/>
      <c r="AB220" s="471"/>
      <c r="AC220" s="471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  <c r="IT220" s="6"/>
      <c r="IU220" s="6"/>
      <c r="IV220" s="6"/>
      <c r="IW220" s="6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6"/>
      <c r="KZ220" s="6"/>
      <c r="LA220" s="6"/>
      <c r="LB220" s="6"/>
      <c r="LC220" s="6"/>
      <c r="LD220" s="6"/>
      <c r="LE220" s="6"/>
      <c r="LF220" s="6"/>
      <c r="LG220" s="6"/>
      <c r="LH220" s="6"/>
      <c r="LI220" s="6"/>
      <c r="LJ220" s="6"/>
      <c r="LK220" s="6"/>
      <c r="LL220" s="6"/>
      <c r="LM220" s="6"/>
      <c r="LN220" s="6"/>
      <c r="LO220" s="6"/>
      <c r="LP220" s="6"/>
      <c r="LQ220" s="6"/>
      <c r="LR220" s="6"/>
      <c r="LS220" s="6"/>
      <c r="LT220" s="6"/>
      <c r="LU220" s="6"/>
      <c r="LV220" s="6"/>
      <c r="LW220" s="6"/>
      <c r="LX220" s="6"/>
      <c r="LY220" s="6"/>
      <c r="LZ220" s="6"/>
      <c r="MA220" s="6"/>
      <c r="MB220" s="6"/>
      <c r="MC220" s="6"/>
      <c r="MD220" s="6"/>
      <c r="ME220" s="6"/>
      <c r="MF220" s="6"/>
      <c r="MG220" s="6"/>
      <c r="MH220" s="6"/>
      <c r="MI220" s="6"/>
      <c r="MJ220" s="6"/>
      <c r="MK220" s="6"/>
      <c r="ML220" s="6"/>
      <c r="MM220" s="6"/>
      <c r="MN220" s="6"/>
      <c r="MO220" s="6"/>
      <c r="MP220" s="6"/>
      <c r="MQ220" s="6"/>
      <c r="MR220" s="6"/>
      <c r="MS220" s="6"/>
      <c r="MT220" s="6"/>
      <c r="MU220" s="6"/>
      <c r="MV220" s="6"/>
      <c r="MW220" s="6"/>
      <c r="MX220" s="6"/>
      <c r="MY220" s="6"/>
      <c r="MZ220" s="6"/>
      <c r="NA220" s="6"/>
      <c r="NB220" s="6"/>
      <c r="NC220" s="6"/>
      <c r="ND220" s="6"/>
      <c r="NE220" s="6"/>
      <c r="NF220" s="6"/>
      <c r="NG220" s="6"/>
      <c r="NH220" s="6"/>
      <c r="NI220" s="6"/>
      <c r="NJ220" s="6"/>
      <c r="NK220" s="6"/>
      <c r="NL220" s="6"/>
      <c r="NM220" s="6"/>
      <c r="NN220" s="6"/>
      <c r="NO220" s="6"/>
      <c r="NP220" s="6"/>
      <c r="NQ220" s="6"/>
      <c r="NR220" s="6"/>
      <c r="NS220" s="6"/>
      <c r="NT220" s="6"/>
      <c r="NU220" s="6"/>
      <c r="NV220" s="6"/>
      <c r="NW220" s="6"/>
      <c r="NX220" s="6"/>
      <c r="NY220" s="6"/>
      <c r="NZ220" s="6"/>
      <c r="OA220" s="6"/>
      <c r="OB220" s="6"/>
      <c r="OC220" s="6"/>
      <c r="OD220" s="6"/>
      <c r="OE220" s="6"/>
      <c r="OF220" s="6"/>
      <c r="OG220" s="6"/>
      <c r="OH220" s="6"/>
      <c r="OI220" s="6"/>
      <c r="OJ220" s="6"/>
      <c r="OK220" s="6"/>
      <c r="OL220" s="6"/>
      <c r="OM220" s="6"/>
      <c r="ON220" s="6"/>
      <c r="OO220" s="6"/>
      <c r="OP220" s="6"/>
      <c r="OQ220" s="6"/>
      <c r="OR220" s="6"/>
      <c r="OS220" s="6"/>
      <c r="OT220" s="6"/>
      <c r="OU220" s="6"/>
      <c r="OV220" s="6"/>
      <c r="OW220" s="6"/>
      <c r="OX220" s="6"/>
      <c r="OY220" s="6"/>
      <c r="OZ220" s="6"/>
      <c r="PA220" s="6"/>
      <c r="PB220" s="6"/>
      <c r="PC220" s="6"/>
      <c r="PD220" s="6"/>
      <c r="PE220" s="6"/>
      <c r="PF220" s="6"/>
      <c r="PG220" s="6"/>
      <c r="PH220" s="6"/>
      <c r="PI220" s="6"/>
      <c r="PJ220" s="6"/>
      <c r="PK220" s="6"/>
      <c r="PL220" s="6"/>
      <c r="PM220" s="6"/>
      <c r="PN220" s="6"/>
      <c r="PO220" s="6"/>
      <c r="PP220" s="6"/>
      <c r="PQ220" s="6"/>
      <c r="PR220" s="6"/>
      <c r="PS220" s="6"/>
      <c r="PT220" s="6"/>
      <c r="PU220" s="6"/>
      <c r="PV220" s="6"/>
      <c r="PW220" s="6"/>
      <c r="PX220" s="6"/>
      <c r="PY220" s="6"/>
      <c r="PZ220" s="6"/>
      <c r="QA220" s="6"/>
      <c r="QB220" s="6"/>
      <c r="QC220" s="6"/>
      <c r="QD220" s="6"/>
      <c r="QE220" s="6"/>
      <c r="QF220" s="6"/>
      <c r="QG220" s="6"/>
      <c r="QH220" s="6"/>
      <c r="QI220" s="6"/>
      <c r="QJ220" s="6"/>
      <c r="QK220" s="6"/>
      <c r="QL220" s="6"/>
      <c r="QM220" s="6"/>
      <c r="QN220" s="6"/>
      <c r="QO220" s="6"/>
      <c r="QP220" s="6"/>
      <c r="QQ220" s="6"/>
      <c r="QR220" s="6"/>
      <c r="QS220" s="6"/>
      <c r="QT220" s="6"/>
      <c r="QU220" s="6"/>
      <c r="QV220" s="6"/>
      <c r="QW220" s="6"/>
      <c r="QX220" s="6"/>
      <c r="QY220" s="6"/>
      <c r="QZ220" s="6"/>
      <c r="RA220" s="6"/>
      <c r="RB220" s="6"/>
      <c r="RC220" s="6"/>
      <c r="RD220" s="6"/>
      <c r="RE220" s="6"/>
      <c r="RF220" s="6"/>
      <c r="RG220" s="6"/>
      <c r="RH220" s="6"/>
      <c r="RI220" s="6"/>
      <c r="RJ220" s="6"/>
      <c r="RK220" s="6"/>
      <c r="RL220" s="6"/>
      <c r="RM220" s="6"/>
      <c r="RN220" s="6"/>
      <c r="RO220" s="6"/>
      <c r="RP220" s="6"/>
      <c r="RQ220" s="6"/>
      <c r="RR220" s="6"/>
      <c r="RS220" s="6"/>
      <c r="RT220" s="6"/>
      <c r="RU220" s="6"/>
      <c r="RV220" s="6"/>
      <c r="RW220" s="6"/>
      <c r="RX220" s="6"/>
      <c r="RY220" s="6"/>
      <c r="RZ220" s="6"/>
      <c r="SA220" s="6"/>
      <c r="SB220" s="6"/>
      <c r="SC220" s="6"/>
      <c r="SD220" s="6"/>
      <c r="SE220" s="6"/>
      <c r="SF220" s="6"/>
      <c r="SG220" s="6"/>
      <c r="SH220" s="6"/>
      <c r="SI220" s="6"/>
      <c r="SJ220" s="6"/>
      <c r="SK220" s="6"/>
      <c r="SL220" s="6"/>
      <c r="SM220" s="6"/>
      <c r="SN220" s="6"/>
      <c r="SO220" s="6"/>
      <c r="SP220" s="6"/>
      <c r="SQ220" s="6"/>
      <c r="SR220" s="6"/>
      <c r="SS220" s="6"/>
      <c r="ST220" s="6"/>
      <c r="SU220" s="6"/>
      <c r="SV220" s="6"/>
      <c r="SW220" s="6"/>
      <c r="SX220" s="6"/>
      <c r="SY220" s="6"/>
      <c r="SZ220" s="6"/>
      <c r="TA220" s="6"/>
      <c r="TB220" s="6"/>
      <c r="TC220" s="6"/>
      <c r="TD220" s="6"/>
      <c r="TE220" s="6"/>
      <c r="TF220" s="6"/>
      <c r="TG220" s="6"/>
      <c r="TH220" s="6"/>
      <c r="TI220" s="6"/>
      <c r="TJ220" s="6"/>
      <c r="TK220" s="6"/>
      <c r="TL220" s="6"/>
      <c r="TM220" s="6"/>
      <c r="TN220" s="6"/>
      <c r="TO220" s="6"/>
      <c r="TP220" s="6"/>
      <c r="TQ220" s="6"/>
      <c r="TR220" s="6"/>
      <c r="TS220" s="6"/>
      <c r="TT220" s="6"/>
      <c r="TU220" s="6"/>
      <c r="TV220" s="6"/>
      <c r="TW220" s="6"/>
      <c r="TX220" s="6"/>
      <c r="TY220" s="6"/>
      <c r="TZ220" s="6"/>
      <c r="UA220" s="6"/>
      <c r="UB220" s="6"/>
      <c r="UC220" s="6"/>
      <c r="UD220" s="6"/>
      <c r="UE220" s="6"/>
      <c r="UF220" s="6"/>
      <c r="UG220" s="6"/>
      <c r="UH220" s="6"/>
      <c r="UI220" s="6"/>
      <c r="UJ220" s="6"/>
      <c r="UK220" s="6"/>
      <c r="UL220" s="6"/>
      <c r="UM220" s="6"/>
      <c r="UN220" s="6"/>
      <c r="UO220" s="6"/>
      <c r="UP220" s="6"/>
      <c r="UQ220" s="6"/>
      <c r="UR220" s="6"/>
      <c r="US220" s="6"/>
      <c r="UT220" s="6"/>
      <c r="UU220" s="6"/>
      <c r="UV220" s="6"/>
      <c r="UW220" s="6"/>
      <c r="UX220" s="6"/>
      <c r="UY220" s="6"/>
      <c r="UZ220" s="6"/>
      <c r="VA220" s="6"/>
      <c r="VB220" s="6"/>
      <c r="VC220" s="6"/>
      <c r="VD220" s="6"/>
      <c r="VE220" s="6"/>
      <c r="VF220" s="6"/>
      <c r="VG220" s="6"/>
      <c r="VH220" s="6"/>
      <c r="VI220" s="6"/>
      <c r="VJ220" s="6"/>
      <c r="VK220" s="6"/>
      <c r="VL220" s="6"/>
      <c r="VM220" s="6"/>
      <c r="VN220" s="6"/>
      <c r="VO220" s="6"/>
      <c r="VP220" s="6"/>
      <c r="VQ220" s="6"/>
      <c r="VR220" s="6"/>
      <c r="VS220" s="6"/>
      <c r="VT220" s="6"/>
      <c r="VU220" s="6"/>
      <c r="VV220" s="6"/>
      <c r="VW220" s="6"/>
      <c r="VX220" s="6"/>
      <c r="VY220" s="6"/>
      <c r="VZ220" s="6"/>
      <c r="WA220" s="6"/>
      <c r="WB220" s="6"/>
      <c r="WC220" s="6"/>
      <c r="WD220" s="6"/>
      <c r="WE220" s="6"/>
      <c r="WF220" s="6"/>
      <c r="WG220" s="6"/>
      <c r="WH220" s="6"/>
      <c r="WI220" s="6"/>
      <c r="WJ220" s="6"/>
      <c r="WK220" s="6"/>
      <c r="WL220" s="6"/>
      <c r="WM220" s="6"/>
      <c r="WN220" s="6"/>
      <c r="WO220" s="6"/>
      <c r="WP220" s="6"/>
      <c r="WQ220" s="6"/>
      <c r="WR220" s="6"/>
      <c r="WS220" s="6"/>
      <c r="WT220" s="6"/>
      <c r="WU220" s="6"/>
      <c r="WV220" s="6"/>
      <c r="WW220" s="6"/>
      <c r="WX220" s="6"/>
      <c r="WY220" s="6"/>
      <c r="WZ220" s="6"/>
      <c r="XA220" s="6"/>
      <c r="XB220" s="6"/>
      <c r="XC220" s="6"/>
      <c r="XD220" s="6"/>
      <c r="XE220" s="6"/>
      <c r="XF220" s="6"/>
      <c r="XG220" s="6"/>
      <c r="XH220" s="6"/>
      <c r="XI220" s="6"/>
      <c r="XJ220" s="6"/>
      <c r="XK220" s="6"/>
      <c r="XL220" s="6"/>
      <c r="XM220" s="6"/>
      <c r="XN220" s="6"/>
      <c r="XO220" s="6"/>
      <c r="XP220" s="6"/>
      <c r="XQ220" s="6"/>
      <c r="XR220" s="6"/>
      <c r="XS220" s="6"/>
      <c r="XT220" s="6"/>
      <c r="XU220" s="6"/>
      <c r="XV220" s="6"/>
      <c r="XW220" s="6"/>
      <c r="XX220" s="6"/>
      <c r="XY220" s="6"/>
      <c r="XZ220" s="6"/>
      <c r="YA220" s="6"/>
      <c r="YB220" s="6"/>
      <c r="YC220" s="6"/>
      <c r="YD220" s="6"/>
      <c r="YE220" s="6"/>
      <c r="YF220" s="6"/>
      <c r="YG220" s="6"/>
      <c r="YH220" s="6"/>
      <c r="YI220" s="6"/>
      <c r="YJ220" s="6"/>
      <c r="YK220" s="6"/>
      <c r="YL220" s="6"/>
      <c r="YM220" s="6"/>
      <c r="YN220" s="6"/>
      <c r="YO220" s="6"/>
      <c r="YP220" s="6"/>
      <c r="YQ220" s="6"/>
      <c r="YR220" s="6"/>
      <c r="YS220" s="6"/>
      <c r="YT220" s="6"/>
      <c r="YU220" s="6"/>
      <c r="YV220" s="6"/>
      <c r="YW220" s="6"/>
      <c r="YX220" s="6"/>
      <c r="YY220" s="6"/>
      <c r="YZ220" s="6"/>
      <c r="ZA220" s="6"/>
      <c r="ZB220" s="6"/>
      <c r="ZC220" s="6"/>
      <c r="ZD220" s="6"/>
      <c r="ZE220" s="6"/>
      <c r="ZF220" s="6"/>
      <c r="ZG220" s="6"/>
      <c r="ZH220" s="6"/>
      <c r="ZI220" s="6"/>
      <c r="ZJ220" s="6"/>
      <c r="ZK220" s="6"/>
      <c r="ZL220" s="6"/>
      <c r="ZM220" s="6"/>
      <c r="ZN220" s="6"/>
      <c r="ZO220" s="6"/>
      <c r="ZP220" s="6"/>
      <c r="ZQ220" s="6"/>
      <c r="ZR220" s="6"/>
      <c r="ZS220" s="6"/>
      <c r="ZT220" s="6"/>
      <c r="ZU220" s="6"/>
      <c r="ZV220" s="6"/>
      <c r="ZW220" s="6"/>
      <c r="ZX220" s="6"/>
      <c r="ZY220" s="6"/>
      <c r="ZZ220" s="6"/>
      <c r="AAA220" s="6"/>
      <c r="AAB220" s="6"/>
      <c r="AAC220" s="6"/>
      <c r="AAD220" s="6"/>
      <c r="AAE220" s="6"/>
      <c r="AAF220" s="6"/>
      <c r="AAG220" s="6"/>
      <c r="AAH220" s="6"/>
      <c r="AAI220" s="6"/>
      <c r="AAJ220" s="6"/>
      <c r="AAK220" s="6"/>
      <c r="AAL220" s="6"/>
      <c r="AAM220" s="6"/>
      <c r="AAN220" s="6"/>
      <c r="AAO220" s="6"/>
      <c r="AAP220" s="6"/>
      <c r="AAQ220" s="6"/>
      <c r="AAR220" s="6"/>
      <c r="AAS220" s="6"/>
      <c r="AAT220" s="6"/>
      <c r="AAU220" s="6"/>
      <c r="AAV220" s="6"/>
      <c r="AAW220" s="6"/>
      <c r="AAX220" s="6"/>
      <c r="AAY220" s="6"/>
      <c r="AAZ220" s="6"/>
      <c r="ABA220" s="6"/>
      <c r="ABB220" s="6"/>
      <c r="ABC220" s="6"/>
      <c r="ABD220" s="6"/>
      <c r="ABE220" s="6"/>
      <c r="ABF220" s="6"/>
      <c r="ABG220" s="6"/>
      <c r="ABH220" s="6"/>
      <c r="ABI220" s="6"/>
      <c r="ABJ220" s="6"/>
      <c r="ABK220" s="6"/>
      <c r="ABL220" s="6"/>
      <c r="ABM220" s="6"/>
      <c r="ABN220" s="6"/>
      <c r="ABO220" s="6"/>
      <c r="ABP220" s="6"/>
      <c r="ABQ220" s="6"/>
      <c r="ABR220" s="6"/>
      <c r="ABS220" s="6"/>
      <c r="ABT220" s="6"/>
      <c r="ABU220" s="6"/>
      <c r="ABV220" s="6"/>
      <c r="ABW220" s="6"/>
      <c r="ABX220" s="6"/>
      <c r="ABY220" s="6"/>
      <c r="ABZ220" s="6"/>
      <c r="ACA220" s="6"/>
      <c r="ACB220" s="6"/>
      <c r="ACC220" s="6"/>
      <c r="ACD220" s="6"/>
      <c r="ACE220" s="6"/>
      <c r="ACF220" s="6"/>
      <c r="ACG220" s="6"/>
      <c r="ACH220" s="6"/>
      <c r="ACI220" s="6"/>
      <c r="ACJ220" s="6"/>
      <c r="ACK220" s="6"/>
      <c r="ACL220" s="6"/>
      <c r="ACM220" s="6"/>
      <c r="ACN220" s="6"/>
      <c r="ACO220" s="6"/>
      <c r="ACP220" s="6"/>
      <c r="ACQ220" s="6"/>
      <c r="ACR220" s="6"/>
      <c r="ACS220" s="6"/>
      <c r="ACT220" s="6"/>
      <c r="ACU220" s="6"/>
      <c r="ACV220" s="6"/>
      <c r="ACW220" s="6"/>
      <c r="ACX220" s="6"/>
      <c r="ACY220" s="6"/>
      <c r="ACZ220" s="6"/>
      <c r="ADA220" s="6"/>
      <c r="ADB220" s="6"/>
      <c r="ADC220" s="6"/>
      <c r="ADD220" s="6"/>
      <c r="ADE220" s="6"/>
      <c r="ADF220" s="6"/>
      <c r="ADG220" s="6"/>
      <c r="ADH220" s="6"/>
      <c r="ADI220" s="6"/>
      <c r="ADJ220" s="6"/>
    </row>
    <row r="221" spans="1:790" s="291" customFormat="1" ht="15" thickBot="1" x14ac:dyDescent="0.35">
      <c r="A221" s="399"/>
      <c r="B221" s="571"/>
      <c r="C221" s="366"/>
      <c r="D221" s="367"/>
      <c r="E221" s="367"/>
      <c r="F221" s="367"/>
      <c r="G221" s="427"/>
      <c r="H221" s="427"/>
      <c r="I221" s="369"/>
      <c r="J221" s="403"/>
      <c r="K221" s="439"/>
      <c r="L221" s="370"/>
      <c r="M221" s="490"/>
      <c r="N221" s="490"/>
      <c r="O221" s="308"/>
      <c r="Q221" s="497"/>
      <c r="R221" s="481"/>
      <c r="S221" s="514"/>
      <c r="T221" s="515"/>
      <c r="U221" s="482"/>
      <c r="V221" s="514"/>
      <c r="W221" s="515"/>
      <c r="X221" s="507"/>
      <c r="Y221" s="507"/>
      <c r="Z221" s="478"/>
      <c r="AA221" s="471"/>
      <c r="AB221" s="471"/>
      <c r="AC221" s="471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J221" s="6"/>
      <c r="IK221" s="6"/>
      <c r="IL221" s="6"/>
      <c r="IM221" s="6"/>
      <c r="IN221" s="6"/>
      <c r="IO221" s="6"/>
      <c r="IP221" s="6"/>
      <c r="IQ221" s="6"/>
      <c r="IR221" s="6"/>
      <c r="IS221" s="6"/>
      <c r="IT221" s="6"/>
      <c r="IU221" s="6"/>
      <c r="IV221" s="6"/>
      <c r="IW221" s="6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6"/>
      <c r="KZ221" s="6"/>
      <c r="LA221" s="6"/>
      <c r="LB221" s="6"/>
      <c r="LC221" s="6"/>
      <c r="LD221" s="6"/>
      <c r="LE221" s="6"/>
      <c r="LF221" s="6"/>
      <c r="LG221" s="6"/>
      <c r="LH221" s="6"/>
      <c r="LI221" s="6"/>
      <c r="LJ221" s="6"/>
      <c r="LK221" s="6"/>
      <c r="LL221" s="6"/>
      <c r="LM221" s="6"/>
      <c r="LN221" s="6"/>
      <c r="LO221" s="6"/>
      <c r="LP221" s="6"/>
      <c r="LQ221" s="6"/>
      <c r="LR221" s="6"/>
      <c r="LS221" s="6"/>
      <c r="LT221" s="6"/>
      <c r="LU221" s="6"/>
      <c r="LV221" s="6"/>
      <c r="LW221" s="6"/>
      <c r="LX221" s="6"/>
      <c r="LY221" s="6"/>
      <c r="LZ221" s="6"/>
      <c r="MA221" s="6"/>
      <c r="MB221" s="6"/>
      <c r="MC221" s="6"/>
      <c r="MD221" s="6"/>
      <c r="ME221" s="6"/>
      <c r="MF221" s="6"/>
      <c r="MG221" s="6"/>
      <c r="MH221" s="6"/>
      <c r="MI221" s="6"/>
      <c r="MJ221" s="6"/>
      <c r="MK221" s="6"/>
      <c r="ML221" s="6"/>
      <c r="MM221" s="6"/>
      <c r="MN221" s="6"/>
      <c r="MO221" s="6"/>
      <c r="MP221" s="6"/>
      <c r="MQ221" s="6"/>
      <c r="MR221" s="6"/>
      <c r="MS221" s="6"/>
      <c r="MT221" s="6"/>
      <c r="MU221" s="6"/>
      <c r="MV221" s="6"/>
      <c r="MW221" s="6"/>
      <c r="MX221" s="6"/>
      <c r="MY221" s="6"/>
      <c r="MZ221" s="6"/>
      <c r="NA221" s="6"/>
      <c r="NB221" s="6"/>
      <c r="NC221" s="6"/>
      <c r="ND221" s="6"/>
      <c r="NE221" s="6"/>
      <c r="NF221" s="6"/>
      <c r="NG221" s="6"/>
      <c r="NH221" s="6"/>
      <c r="NI221" s="6"/>
      <c r="NJ221" s="6"/>
      <c r="NK221" s="6"/>
      <c r="NL221" s="6"/>
      <c r="NM221" s="6"/>
      <c r="NN221" s="6"/>
      <c r="NO221" s="6"/>
      <c r="NP221" s="6"/>
      <c r="NQ221" s="6"/>
      <c r="NR221" s="6"/>
      <c r="NS221" s="6"/>
      <c r="NT221" s="6"/>
      <c r="NU221" s="6"/>
      <c r="NV221" s="6"/>
      <c r="NW221" s="6"/>
      <c r="NX221" s="6"/>
      <c r="NY221" s="6"/>
      <c r="NZ221" s="6"/>
      <c r="OA221" s="6"/>
      <c r="OB221" s="6"/>
      <c r="OC221" s="6"/>
      <c r="OD221" s="6"/>
      <c r="OE221" s="6"/>
      <c r="OF221" s="6"/>
      <c r="OG221" s="6"/>
      <c r="OH221" s="6"/>
      <c r="OI221" s="6"/>
      <c r="OJ221" s="6"/>
      <c r="OK221" s="6"/>
      <c r="OL221" s="6"/>
      <c r="OM221" s="6"/>
      <c r="ON221" s="6"/>
      <c r="OO221" s="6"/>
      <c r="OP221" s="6"/>
      <c r="OQ221" s="6"/>
      <c r="OR221" s="6"/>
      <c r="OS221" s="6"/>
      <c r="OT221" s="6"/>
      <c r="OU221" s="6"/>
      <c r="OV221" s="6"/>
      <c r="OW221" s="6"/>
      <c r="OX221" s="6"/>
      <c r="OY221" s="6"/>
      <c r="OZ221" s="6"/>
      <c r="PA221" s="6"/>
      <c r="PB221" s="6"/>
      <c r="PC221" s="6"/>
      <c r="PD221" s="6"/>
      <c r="PE221" s="6"/>
      <c r="PF221" s="6"/>
      <c r="PG221" s="6"/>
      <c r="PH221" s="6"/>
      <c r="PI221" s="6"/>
      <c r="PJ221" s="6"/>
      <c r="PK221" s="6"/>
      <c r="PL221" s="6"/>
      <c r="PM221" s="6"/>
      <c r="PN221" s="6"/>
      <c r="PO221" s="6"/>
      <c r="PP221" s="6"/>
      <c r="PQ221" s="6"/>
      <c r="PR221" s="6"/>
      <c r="PS221" s="6"/>
      <c r="PT221" s="6"/>
      <c r="PU221" s="6"/>
      <c r="PV221" s="6"/>
      <c r="PW221" s="6"/>
      <c r="PX221" s="6"/>
      <c r="PY221" s="6"/>
      <c r="PZ221" s="6"/>
      <c r="QA221" s="6"/>
      <c r="QB221" s="6"/>
      <c r="QC221" s="6"/>
      <c r="QD221" s="6"/>
      <c r="QE221" s="6"/>
      <c r="QF221" s="6"/>
      <c r="QG221" s="6"/>
      <c r="QH221" s="6"/>
      <c r="QI221" s="6"/>
      <c r="QJ221" s="6"/>
      <c r="QK221" s="6"/>
      <c r="QL221" s="6"/>
      <c r="QM221" s="6"/>
      <c r="QN221" s="6"/>
      <c r="QO221" s="6"/>
      <c r="QP221" s="6"/>
      <c r="QQ221" s="6"/>
      <c r="QR221" s="6"/>
      <c r="QS221" s="6"/>
      <c r="QT221" s="6"/>
      <c r="QU221" s="6"/>
      <c r="QV221" s="6"/>
      <c r="QW221" s="6"/>
      <c r="QX221" s="6"/>
      <c r="QY221" s="6"/>
      <c r="QZ221" s="6"/>
      <c r="RA221" s="6"/>
      <c r="RB221" s="6"/>
      <c r="RC221" s="6"/>
      <c r="RD221" s="6"/>
      <c r="RE221" s="6"/>
      <c r="RF221" s="6"/>
      <c r="RG221" s="6"/>
      <c r="RH221" s="6"/>
      <c r="RI221" s="6"/>
      <c r="RJ221" s="6"/>
      <c r="RK221" s="6"/>
      <c r="RL221" s="6"/>
      <c r="RM221" s="6"/>
      <c r="RN221" s="6"/>
      <c r="RO221" s="6"/>
      <c r="RP221" s="6"/>
      <c r="RQ221" s="6"/>
      <c r="RR221" s="6"/>
      <c r="RS221" s="6"/>
      <c r="RT221" s="6"/>
      <c r="RU221" s="6"/>
      <c r="RV221" s="6"/>
      <c r="RW221" s="6"/>
      <c r="RX221" s="6"/>
      <c r="RY221" s="6"/>
      <c r="RZ221" s="6"/>
      <c r="SA221" s="6"/>
      <c r="SB221" s="6"/>
      <c r="SC221" s="6"/>
      <c r="SD221" s="6"/>
      <c r="SE221" s="6"/>
      <c r="SF221" s="6"/>
      <c r="SG221" s="6"/>
      <c r="SH221" s="6"/>
      <c r="SI221" s="6"/>
      <c r="SJ221" s="6"/>
      <c r="SK221" s="6"/>
      <c r="SL221" s="6"/>
      <c r="SM221" s="6"/>
      <c r="SN221" s="6"/>
      <c r="SO221" s="6"/>
      <c r="SP221" s="6"/>
      <c r="SQ221" s="6"/>
      <c r="SR221" s="6"/>
      <c r="SS221" s="6"/>
      <c r="ST221" s="6"/>
      <c r="SU221" s="6"/>
      <c r="SV221" s="6"/>
      <c r="SW221" s="6"/>
      <c r="SX221" s="6"/>
      <c r="SY221" s="6"/>
      <c r="SZ221" s="6"/>
      <c r="TA221" s="6"/>
      <c r="TB221" s="6"/>
      <c r="TC221" s="6"/>
      <c r="TD221" s="6"/>
      <c r="TE221" s="6"/>
      <c r="TF221" s="6"/>
      <c r="TG221" s="6"/>
      <c r="TH221" s="6"/>
      <c r="TI221" s="6"/>
      <c r="TJ221" s="6"/>
      <c r="TK221" s="6"/>
      <c r="TL221" s="6"/>
      <c r="TM221" s="6"/>
      <c r="TN221" s="6"/>
      <c r="TO221" s="6"/>
      <c r="TP221" s="6"/>
      <c r="TQ221" s="6"/>
      <c r="TR221" s="6"/>
      <c r="TS221" s="6"/>
      <c r="TT221" s="6"/>
      <c r="TU221" s="6"/>
      <c r="TV221" s="6"/>
      <c r="TW221" s="6"/>
      <c r="TX221" s="6"/>
      <c r="TY221" s="6"/>
      <c r="TZ221" s="6"/>
      <c r="UA221" s="6"/>
      <c r="UB221" s="6"/>
      <c r="UC221" s="6"/>
      <c r="UD221" s="6"/>
      <c r="UE221" s="6"/>
      <c r="UF221" s="6"/>
      <c r="UG221" s="6"/>
      <c r="UH221" s="6"/>
      <c r="UI221" s="6"/>
      <c r="UJ221" s="6"/>
      <c r="UK221" s="6"/>
      <c r="UL221" s="6"/>
      <c r="UM221" s="6"/>
      <c r="UN221" s="6"/>
      <c r="UO221" s="6"/>
      <c r="UP221" s="6"/>
      <c r="UQ221" s="6"/>
      <c r="UR221" s="6"/>
      <c r="US221" s="6"/>
      <c r="UT221" s="6"/>
      <c r="UU221" s="6"/>
      <c r="UV221" s="6"/>
      <c r="UW221" s="6"/>
      <c r="UX221" s="6"/>
      <c r="UY221" s="6"/>
      <c r="UZ221" s="6"/>
      <c r="VA221" s="6"/>
      <c r="VB221" s="6"/>
      <c r="VC221" s="6"/>
      <c r="VD221" s="6"/>
      <c r="VE221" s="6"/>
      <c r="VF221" s="6"/>
      <c r="VG221" s="6"/>
      <c r="VH221" s="6"/>
      <c r="VI221" s="6"/>
      <c r="VJ221" s="6"/>
      <c r="VK221" s="6"/>
      <c r="VL221" s="6"/>
      <c r="VM221" s="6"/>
      <c r="VN221" s="6"/>
      <c r="VO221" s="6"/>
      <c r="VP221" s="6"/>
      <c r="VQ221" s="6"/>
      <c r="VR221" s="6"/>
      <c r="VS221" s="6"/>
      <c r="VT221" s="6"/>
      <c r="VU221" s="6"/>
      <c r="VV221" s="6"/>
      <c r="VW221" s="6"/>
      <c r="VX221" s="6"/>
      <c r="VY221" s="6"/>
      <c r="VZ221" s="6"/>
      <c r="WA221" s="6"/>
      <c r="WB221" s="6"/>
      <c r="WC221" s="6"/>
      <c r="WD221" s="6"/>
      <c r="WE221" s="6"/>
      <c r="WF221" s="6"/>
      <c r="WG221" s="6"/>
      <c r="WH221" s="6"/>
      <c r="WI221" s="6"/>
      <c r="WJ221" s="6"/>
      <c r="WK221" s="6"/>
      <c r="WL221" s="6"/>
      <c r="WM221" s="6"/>
      <c r="WN221" s="6"/>
      <c r="WO221" s="6"/>
      <c r="WP221" s="6"/>
      <c r="WQ221" s="6"/>
      <c r="WR221" s="6"/>
      <c r="WS221" s="6"/>
      <c r="WT221" s="6"/>
      <c r="WU221" s="6"/>
      <c r="WV221" s="6"/>
      <c r="WW221" s="6"/>
      <c r="WX221" s="6"/>
      <c r="WY221" s="6"/>
      <c r="WZ221" s="6"/>
      <c r="XA221" s="6"/>
      <c r="XB221" s="6"/>
      <c r="XC221" s="6"/>
      <c r="XD221" s="6"/>
      <c r="XE221" s="6"/>
      <c r="XF221" s="6"/>
      <c r="XG221" s="6"/>
      <c r="XH221" s="6"/>
      <c r="XI221" s="6"/>
      <c r="XJ221" s="6"/>
      <c r="XK221" s="6"/>
      <c r="XL221" s="6"/>
      <c r="XM221" s="6"/>
      <c r="XN221" s="6"/>
      <c r="XO221" s="6"/>
      <c r="XP221" s="6"/>
      <c r="XQ221" s="6"/>
      <c r="XR221" s="6"/>
      <c r="XS221" s="6"/>
      <c r="XT221" s="6"/>
      <c r="XU221" s="6"/>
      <c r="XV221" s="6"/>
      <c r="XW221" s="6"/>
      <c r="XX221" s="6"/>
      <c r="XY221" s="6"/>
      <c r="XZ221" s="6"/>
      <c r="YA221" s="6"/>
      <c r="YB221" s="6"/>
      <c r="YC221" s="6"/>
      <c r="YD221" s="6"/>
      <c r="YE221" s="6"/>
      <c r="YF221" s="6"/>
      <c r="YG221" s="6"/>
      <c r="YH221" s="6"/>
      <c r="YI221" s="6"/>
      <c r="YJ221" s="6"/>
      <c r="YK221" s="6"/>
      <c r="YL221" s="6"/>
      <c r="YM221" s="6"/>
      <c r="YN221" s="6"/>
      <c r="YO221" s="6"/>
      <c r="YP221" s="6"/>
      <c r="YQ221" s="6"/>
      <c r="YR221" s="6"/>
      <c r="YS221" s="6"/>
      <c r="YT221" s="6"/>
      <c r="YU221" s="6"/>
      <c r="YV221" s="6"/>
      <c r="YW221" s="6"/>
      <c r="YX221" s="6"/>
      <c r="YY221" s="6"/>
      <c r="YZ221" s="6"/>
      <c r="ZA221" s="6"/>
      <c r="ZB221" s="6"/>
      <c r="ZC221" s="6"/>
      <c r="ZD221" s="6"/>
      <c r="ZE221" s="6"/>
      <c r="ZF221" s="6"/>
      <c r="ZG221" s="6"/>
      <c r="ZH221" s="6"/>
      <c r="ZI221" s="6"/>
      <c r="ZJ221" s="6"/>
      <c r="ZK221" s="6"/>
      <c r="ZL221" s="6"/>
      <c r="ZM221" s="6"/>
      <c r="ZN221" s="6"/>
      <c r="ZO221" s="6"/>
      <c r="ZP221" s="6"/>
      <c r="ZQ221" s="6"/>
      <c r="ZR221" s="6"/>
      <c r="ZS221" s="6"/>
      <c r="ZT221" s="6"/>
      <c r="ZU221" s="6"/>
      <c r="ZV221" s="6"/>
      <c r="ZW221" s="6"/>
      <c r="ZX221" s="6"/>
      <c r="ZY221" s="6"/>
      <c r="ZZ221" s="6"/>
      <c r="AAA221" s="6"/>
      <c r="AAB221" s="6"/>
      <c r="AAC221" s="6"/>
      <c r="AAD221" s="6"/>
      <c r="AAE221" s="6"/>
      <c r="AAF221" s="6"/>
      <c r="AAG221" s="6"/>
      <c r="AAH221" s="6"/>
      <c r="AAI221" s="6"/>
      <c r="AAJ221" s="6"/>
      <c r="AAK221" s="6"/>
      <c r="AAL221" s="6"/>
      <c r="AAM221" s="6"/>
      <c r="AAN221" s="6"/>
      <c r="AAO221" s="6"/>
      <c r="AAP221" s="6"/>
      <c r="AAQ221" s="6"/>
      <c r="AAR221" s="6"/>
      <c r="AAS221" s="6"/>
      <c r="AAT221" s="6"/>
      <c r="AAU221" s="6"/>
      <c r="AAV221" s="6"/>
      <c r="AAW221" s="6"/>
      <c r="AAX221" s="6"/>
      <c r="AAY221" s="6"/>
      <c r="AAZ221" s="6"/>
      <c r="ABA221" s="6"/>
      <c r="ABB221" s="6"/>
      <c r="ABC221" s="6"/>
      <c r="ABD221" s="6"/>
      <c r="ABE221" s="6"/>
      <c r="ABF221" s="6"/>
      <c r="ABG221" s="6"/>
      <c r="ABH221" s="6"/>
      <c r="ABI221" s="6"/>
      <c r="ABJ221" s="6"/>
      <c r="ABK221" s="6"/>
      <c r="ABL221" s="6"/>
      <c r="ABM221" s="6"/>
      <c r="ABN221" s="6"/>
      <c r="ABO221" s="6"/>
      <c r="ABP221" s="6"/>
      <c r="ABQ221" s="6"/>
      <c r="ABR221" s="6"/>
      <c r="ABS221" s="6"/>
      <c r="ABT221" s="6"/>
      <c r="ABU221" s="6"/>
      <c r="ABV221" s="6"/>
      <c r="ABW221" s="6"/>
      <c r="ABX221" s="6"/>
      <c r="ABY221" s="6"/>
      <c r="ABZ221" s="6"/>
      <c r="ACA221" s="6"/>
      <c r="ACB221" s="6"/>
      <c r="ACC221" s="6"/>
      <c r="ACD221" s="6"/>
      <c r="ACE221" s="6"/>
      <c r="ACF221" s="6"/>
      <c r="ACG221" s="6"/>
      <c r="ACH221" s="6"/>
      <c r="ACI221" s="6"/>
      <c r="ACJ221" s="6"/>
      <c r="ACK221" s="6"/>
      <c r="ACL221" s="6"/>
      <c r="ACM221" s="6"/>
      <c r="ACN221" s="6"/>
      <c r="ACO221" s="6"/>
      <c r="ACP221" s="6"/>
      <c r="ACQ221" s="6"/>
      <c r="ACR221" s="6"/>
      <c r="ACS221" s="6"/>
      <c r="ACT221" s="6"/>
      <c r="ACU221" s="6"/>
      <c r="ACV221" s="6"/>
      <c r="ACW221" s="6"/>
      <c r="ACX221" s="6"/>
      <c r="ACY221" s="6"/>
      <c r="ACZ221" s="6"/>
      <c r="ADA221" s="6"/>
      <c r="ADB221" s="6"/>
      <c r="ADC221" s="6"/>
      <c r="ADD221" s="6"/>
      <c r="ADE221" s="6"/>
      <c r="ADF221" s="6"/>
      <c r="ADG221" s="6"/>
      <c r="ADH221" s="6"/>
      <c r="ADI221" s="6"/>
      <c r="ADJ221" s="6"/>
    </row>
    <row r="222" spans="1:790" s="291" customFormat="1" ht="15" thickBot="1" x14ac:dyDescent="0.35">
      <c r="A222" s="379" t="s">
        <v>177</v>
      </c>
      <c r="B222" s="564" t="s">
        <v>128</v>
      </c>
      <c r="C222" s="380"/>
      <c r="D222" s="381"/>
      <c r="E222" s="381"/>
      <c r="F222" s="381"/>
      <c r="G222" s="381"/>
      <c r="H222" s="381"/>
      <c r="I222" s="381"/>
      <c r="J222" s="382"/>
      <c r="K222" s="383"/>
      <c r="L222" s="384">
        <f>SUM(L84:L221)-K211-K159-K158</f>
        <v>70626.19033000007</v>
      </c>
      <c r="M222" s="494"/>
      <c r="N222" s="494">
        <f>SUM(N84:N221)-M211-M159-M158</f>
        <v>333509.07872554997</v>
      </c>
      <c r="O222" s="408"/>
      <c r="Q222" s="494"/>
      <c r="R222" s="384"/>
      <c r="S222" s="516"/>
      <c r="T222" s="516">
        <f>SUM(T84:T221)-S211-S159-S158</f>
        <v>84179.122759999984</v>
      </c>
      <c r="U222" s="384"/>
      <c r="V222" s="516"/>
      <c r="W222" s="516">
        <f>SUM(W84:W221)-V211-V159-V158</f>
        <v>95842.892999999996</v>
      </c>
      <c r="X222" s="507"/>
      <c r="Y222" s="507"/>
      <c r="Z222" s="478"/>
      <c r="AA222" s="516">
        <f>SUM(R222:W222)</f>
        <v>180022.01575999998</v>
      </c>
      <c r="AB222" s="518">
        <f>N222-AA222</f>
        <v>153487.06296554999</v>
      </c>
      <c r="AC222" s="519">
        <f>AB222/L222</f>
        <v>2.173231520040702</v>
      </c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6"/>
      <c r="KZ222" s="6"/>
      <c r="LA222" s="6"/>
      <c r="LB222" s="6"/>
      <c r="LC222" s="6"/>
      <c r="LD222" s="6"/>
      <c r="LE222" s="6"/>
      <c r="LF222" s="6"/>
      <c r="LG222" s="6"/>
      <c r="LH222" s="6"/>
      <c r="LI222" s="6"/>
      <c r="LJ222" s="6"/>
      <c r="LK222" s="6"/>
      <c r="LL222" s="6"/>
      <c r="LM222" s="6"/>
      <c r="LN222" s="6"/>
      <c r="LO222" s="6"/>
      <c r="LP222" s="6"/>
      <c r="LQ222" s="6"/>
      <c r="LR222" s="6"/>
      <c r="LS222" s="6"/>
      <c r="LT222" s="6"/>
      <c r="LU222" s="6"/>
      <c r="LV222" s="6"/>
      <c r="LW222" s="6"/>
      <c r="LX222" s="6"/>
      <c r="LY222" s="6"/>
      <c r="LZ222" s="6"/>
      <c r="MA222" s="6"/>
      <c r="MB222" s="6"/>
      <c r="MC222" s="6"/>
      <c r="MD222" s="6"/>
      <c r="ME222" s="6"/>
      <c r="MF222" s="6"/>
      <c r="MG222" s="6"/>
      <c r="MH222" s="6"/>
      <c r="MI222" s="6"/>
      <c r="MJ222" s="6"/>
      <c r="MK222" s="6"/>
      <c r="ML222" s="6"/>
      <c r="MM222" s="6"/>
      <c r="MN222" s="6"/>
      <c r="MO222" s="6"/>
      <c r="MP222" s="6"/>
      <c r="MQ222" s="6"/>
      <c r="MR222" s="6"/>
      <c r="MS222" s="6"/>
      <c r="MT222" s="6"/>
      <c r="MU222" s="6"/>
      <c r="MV222" s="6"/>
      <c r="MW222" s="6"/>
      <c r="MX222" s="6"/>
      <c r="MY222" s="6"/>
      <c r="MZ222" s="6"/>
      <c r="NA222" s="6"/>
      <c r="NB222" s="6"/>
      <c r="NC222" s="6"/>
      <c r="ND222" s="6"/>
      <c r="NE222" s="6"/>
      <c r="NF222" s="6"/>
      <c r="NG222" s="6"/>
      <c r="NH222" s="6"/>
      <c r="NI222" s="6"/>
      <c r="NJ222" s="6"/>
      <c r="NK222" s="6"/>
      <c r="NL222" s="6"/>
      <c r="NM222" s="6"/>
      <c r="NN222" s="6"/>
      <c r="NO222" s="6"/>
      <c r="NP222" s="6"/>
      <c r="NQ222" s="6"/>
      <c r="NR222" s="6"/>
      <c r="NS222" s="6"/>
      <c r="NT222" s="6"/>
      <c r="NU222" s="6"/>
      <c r="NV222" s="6"/>
      <c r="NW222" s="6"/>
      <c r="NX222" s="6"/>
      <c r="NY222" s="6"/>
      <c r="NZ222" s="6"/>
      <c r="OA222" s="6"/>
      <c r="OB222" s="6"/>
      <c r="OC222" s="6"/>
      <c r="OD222" s="6"/>
      <c r="OE222" s="6"/>
      <c r="OF222" s="6"/>
      <c r="OG222" s="6"/>
      <c r="OH222" s="6"/>
      <c r="OI222" s="6"/>
      <c r="OJ222" s="6"/>
      <c r="OK222" s="6"/>
      <c r="OL222" s="6"/>
      <c r="OM222" s="6"/>
      <c r="ON222" s="6"/>
      <c r="OO222" s="6"/>
      <c r="OP222" s="6"/>
      <c r="OQ222" s="6"/>
      <c r="OR222" s="6"/>
      <c r="OS222" s="6"/>
      <c r="OT222" s="6"/>
      <c r="OU222" s="6"/>
      <c r="OV222" s="6"/>
      <c r="OW222" s="6"/>
      <c r="OX222" s="6"/>
      <c r="OY222" s="6"/>
      <c r="OZ222" s="6"/>
      <c r="PA222" s="6"/>
      <c r="PB222" s="6"/>
      <c r="PC222" s="6"/>
      <c r="PD222" s="6"/>
      <c r="PE222" s="6"/>
      <c r="PF222" s="6"/>
      <c r="PG222" s="6"/>
      <c r="PH222" s="6"/>
      <c r="PI222" s="6"/>
      <c r="PJ222" s="6"/>
      <c r="PK222" s="6"/>
      <c r="PL222" s="6"/>
      <c r="PM222" s="6"/>
      <c r="PN222" s="6"/>
      <c r="PO222" s="6"/>
      <c r="PP222" s="6"/>
      <c r="PQ222" s="6"/>
      <c r="PR222" s="6"/>
      <c r="PS222" s="6"/>
      <c r="PT222" s="6"/>
      <c r="PU222" s="6"/>
      <c r="PV222" s="6"/>
      <c r="PW222" s="6"/>
      <c r="PX222" s="6"/>
      <c r="PY222" s="6"/>
      <c r="PZ222" s="6"/>
      <c r="QA222" s="6"/>
      <c r="QB222" s="6"/>
      <c r="QC222" s="6"/>
      <c r="QD222" s="6"/>
      <c r="QE222" s="6"/>
      <c r="QF222" s="6"/>
      <c r="QG222" s="6"/>
      <c r="QH222" s="6"/>
      <c r="QI222" s="6"/>
      <c r="QJ222" s="6"/>
      <c r="QK222" s="6"/>
      <c r="QL222" s="6"/>
      <c r="QM222" s="6"/>
      <c r="QN222" s="6"/>
      <c r="QO222" s="6"/>
      <c r="QP222" s="6"/>
      <c r="QQ222" s="6"/>
      <c r="QR222" s="6"/>
      <c r="QS222" s="6"/>
      <c r="QT222" s="6"/>
      <c r="QU222" s="6"/>
      <c r="QV222" s="6"/>
      <c r="QW222" s="6"/>
      <c r="QX222" s="6"/>
      <c r="QY222" s="6"/>
      <c r="QZ222" s="6"/>
      <c r="RA222" s="6"/>
      <c r="RB222" s="6"/>
      <c r="RC222" s="6"/>
      <c r="RD222" s="6"/>
      <c r="RE222" s="6"/>
      <c r="RF222" s="6"/>
      <c r="RG222" s="6"/>
      <c r="RH222" s="6"/>
      <c r="RI222" s="6"/>
      <c r="RJ222" s="6"/>
      <c r="RK222" s="6"/>
      <c r="RL222" s="6"/>
      <c r="RM222" s="6"/>
      <c r="RN222" s="6"/>
      <c r="RO222" s="6"/>
      <c r="RP222" s="6"/>
      <c r="RQ222" s="6"/>
      <c r="RR222" s="6"/>
      <c r="RS222" s="6"/>
      <c r="RT222" s="6"/>
      <c r="RU222" s="6"/>
      <c r="RV222" s="6"/>
      <c r="RW222" s="6"/>
      <c r="RX222" s="6"/>
      <c r="RY222" s="6"/>
      <c r="RZ222" s="6"/>
      <c r="SA222" s="6"/>
      <c r="SB222" s="6"/>
      <c r="SC222" s="6"/>
      <c r="SD222" s="6"/>
      <c r="SE222" s="6"/>
      <c r="SF222" s="6"/>
      <c r="SG222" s="6"/>
      <c r="SH222" s="6"/>
      <c r="SI222" s="6"/>
      <c r="SJ222" s="6"/>
      <c r="SK222" s="6"/>
      <c r="SL222" s="6"/>
      <c r="SM222" s="6"/>
      <c r="SN222" s="6"/>
      <c r="SO222" s="6"/>
      <c r="SP222" s="6"/>
      <c r="SQ222" s="6"/>
      <c r="SR222" s="6"/>
      <c r="SS222" s="6"/>
      <c r="ST222" s="6"/>
      <c r="SU222" s="6"/>
      <c r="SV222" s="6"/>
      <c r="SW222" s="6"/>
      <c r="SX222" s="6"/>
      <c r="SY222" s="6"/>
      <c r="SZ222" s="6"/>
      <c r="TA222" s="6"/>
      <c r="TB222" s="6"/>
      <c r="TC222" s="6"/>
      <c r="TD222" s="6"/>
      <c r="TE222" s="6"/>
      <c r="TF222" s="6"/>
      <c r="TG222" s="6"/>
      <c r="TH222" s="6"/>
      <c r="TI222" s="6"/>
      <c r="TJ222" s="6"/>
      <c r="TK222" s="6"/>
      <c r="TL222" s="6"/>
      <c r="TM222" s="6"/>
      <c r="TN222" s="6"/>
      <c r="TO222" s="6"/>
      <c r="TP222" s="6"/>
      <c r="TQ222" s="6"/>
      <c r="TR222" s="6"/>
      <c r="TS222" s="6"/>
      <c r="TT222" s="6"/>
      <c r="TU222" s="6"/>
      <c r="TV222" s="6"/>
      <c r="TW222" s="6"/>
      <c r="TX222" s="6"/>
      <c r="TY222" s="6"/>
      <c r="TZ222" s="6"/>
      <c r="UA222" s="6"/>
      <c r="UB222" s="6"/>
      <c r="UC222" s="6"/>
      <c r="UD222" s="6"/>
      <c r="UE222" s="6"/>
      <c r="UF222" s="6"/>
      <c r="UG222" s="6"/>
      <c r="UH222" s="6"/>
      <c r="UI222" s="6"/>
      <c r="UJ222" s="6"/>
      <c r="UK222" s="6"/>
      <c r="UL222" s="6"/>
      <c r="UM222" s="6"/>
      <c r="UN222" s="6"/>
      <c r="UO222" s="6"/>
      <c r="UP222" s="6"/>
      <c r="UQ222" s="6"/>
      <c r="UR222" s="6"/>
      <c r="US222" s="6"/>
      <c r="UT222" s="6"/>
      <c r="UU222" s="6"/>
      <c r="UV222" s="6"/>
      <c r="UW222" s="6"/>
      <c r="UX222" s="6"/>
      <c r="UY222" s="6"/>
      <c r="UZ222" s="6"/>
      <c r="VA222" s="6"/>
      <c r="VB222" s="6"/>
      <c r="VC222" s="6"/>
      <c r="VD222" s="6"/>
      <c r="VE222" s="6"/>
      <c r="VF222" s="6"/>
      <c r="VG222" s="6"/>
      <c r="VH222" s="6"/>
      <c r="VI222" s="6"/>
      <c r="VJ222" s="6"/>
      <c r="VK222" s="6"/>
      <c r="VL222" s="6"/>
      <c r="VM222" s="6"/>
      <c r="VN222" s="6"/>
      <c r="VO222" s="6"/>
      <c r="VP222" s="6"/>
      <c r="VQ222" s="6"/>
      <c r="VR222" s="6"/>
      <c r="VS222" s="6"/>
      <c r="VT222" s="6"/>
      <c r="VU222" s="6"/>
      <c r="VV222" s="6"/>
      <c r="VW222" s="6"/>
      <c r="VX222" s="6"/>
      <c r="VY222" s="6"/>
      <c r="VZ222" s="6"/>
      <c r="WA222" s="6"/>
      <c r="WB222" s="6"/>
      <c r="WC222" s="6"/>
      <c r="WD222" s="6"/>
      <c r="WE222" s="6"/>
      <c r="WF222" s="6"/>
      <c r="WG222" s="6"/>
      <c r="WH222" s="6"/>
      <c r="WI222" s="6"/>
      <c r="WJ222" s="6"/>
      <c r="WK222" s="6"/>
      <c r="WL222" s="6"/>
      <c r="WM222" s="6"/>
      <c r="WN222" s="6"/>
      <c r="WO222" s="6"/>
      <c r="WP222" s="6"/>
      <c r="WQ222" s="6"/>
      <c r="WR222" s="6"/>
      <c r="WS222" s="6"/>
      <c r="WT222" s="6"/>
      <c r="WU222" s="6"/>
      <c r="WV222" s="6"/>
      <c r="WW222" s="6"/>
      <c r="WX222" s="6"/>
      <c r="WY222" s="6"/>
      <c r="WZ222" s="6"/>
      <c r="XA222" s="6"/>
      <c r="XB222" s="6"/>
      <c r="XC222" s="6"/>
      <c r="XD222" s="6"/>
      <c r="XE222" s="6"/>
      <c r="XF222" s="6"/>
      <c r="XG222" s="6"/>
      <c r="XH222" s="6"/>
      <c r="XI222" s="6"/>
      <c r="XJ222" s="6"/>
      <c r="XK222" s="6"/>
      <c r="XL222" s="6"/>
      <c r="XM222" s="6"/>
      <c r="XN222" s="6"/>
      <c r="XO222" s="6"/>
      <c r="XP222" s="6"/>
      <c r="XQ222" s="6"/>
      <c r="XR222" s="6"/>
      <c r="XS222" s="6"/>
      <c r="XT222" s="6"/>
      <c r="XU222" s="6"/>
      <c r="XV222" s="6"/>
      <c r="XW222" s="6"/>
      <c r="XX222" s="6"/>
      <c r="XY222" s="6"/>
      <c r="XZ222" s="6"/>
      <c r="YA222" s="6"/>
      <c r="YB222" s="6"/>
      <c r="YC222" s="6"/>
      <c r="YD222" s="6"/>
      <c r="YE222" s="6"/>
      <c r="YF222" s="6"/>
      <c r="YG222" s="6"/>
      <c r="YH222" s="6"/>
      <c r="YI222" s="6"/>
      <c r="YJ222" s="6"/>
      <c r="YK222" s="6"/>
      <c r="YL222" s="6"/>
      <c r="YM222" s="6"/>
      <c r="YN222" s="6"/>
      <c r="YO222" s="6"/>
      <c r="YP222" s="6"/>
      <c r="YQ222" s="6"/>
      <c r="YR222" s="6"/>
      <c r="YS222" s="6"/>
      <c r="YT222" s="6"/>
      <c r="YU222" s="6"/>
      <c r="YV222" s="6"/>
      <c r="YW222" s="6"/>
      <c r="YX222" s="6"/>
      <c r="YY222" s="6"/>
      <c r="YZ222" s="6"/>
      <c r="ZA222" s="6"/>
      <c r="ZB222" s="6"/>
      <c r="ZC222" s="6"/>
      <c r="ZD222" s="6"/>
      <c r="ZE222" s="6"/>
      <c r="ZF222" s="6"/>
      <c r="ZG222" s="6"/>
      <c r="ZH222" s="6"/>
      <c r="ZI222" s="6"/>
      <c r="ZJ222" s="6"/>
      <c r="ZK222" s="6"/>
      <c r="ZL222" s="6"/>
      <c r="ZM222" s="6"/>
      <c r="ZN222" s="6"/>
      <c r="ZO222" s="6"/>
      <c r="ZP222" s="6"/>
      <c r="ZQ222" s="6"/>
      <c r="ZR222" s="6"/>
      <c r="ZS222" s="6"/>
      <c r="ZT222" s="6"/>
      <c r="ZU222" s="6"/>
      <c r="ZV222" s="6"/>
      <c r="ZW222" s="6"/>
      <c r="ZX222" s="6"/>
      <c r="ZY222" s="6"/>
      <c r="ZZ222" s="6"/>
      <c r="AAA222" s="6"/>
      <c r="AAB222" s="6"/>
      <c r="AAC222" s="6"/>
      <c r="AAD222" s="6"/>
      <c r="AAE222" s="6"/>
      <c r="AAF222" s="6"/>
      <c r="AAG222" s="6"/>
      <c r="AAH222" s="6"/>
      <c r="AAI222" s="6"/>
      <c r="AAJ222" s="6"/>
      <c r="AAK222" s="6"/>
      <c r="AAL222" s="6"/>
      <c r="AAM222" s="6"/>
      <c r="AAN222" s="6"/>
      <c r="AAO222" s="6"/>
      <c r="AAP222" s="6"/>
      <c r="AAQ222" s="6"/>
      <c r="AAR222" s="6"/>
      <c r="AAS222" s="6"/>
      <c r="AAT222" s="6"/>
      <c r="AAU222" s="6"/>
      <c r="AAV222" s="6"/>
      <c r="AAW222" s="6"/>
      <c r="AAX222" s="6"/>
      <c r="AAY222" s="6"/>
      <c r="AAZ222" s="6"/>
      <c r="ABA222" s="6"/>
      <c r="ABB222" s="6"/>
      <c r="ABC222" s="6"/>
      <c r="ABD222" s="6"/>
      <c r="ABE222" s="6"/>
      <c r="ABF222" s="6"/>
      <c r="ABG222" s="6"/>
      <c r="ABH222" s="6"/>
      <c r="ABI222" s="6"/>
      <c r="ABJ222" s="6"/>
      <c r="ABK222" s="6"/>
      <c r="ABL222" s="6"/>
      <c r="ABM222" s="6"/>
      <c r="ABN222" s="6"/>
      <c r="ABO222" s="6"/>
      <c r="ABP222" s="6"/>
      <c r="ABQ222" s="6"/>
      <c r="ABR222" s="6"/>
      <c r="ABS222" s="6"/>
      <c r="ABT222" s="6"/>
      <c r="ABU222" s="6"/>
      <c r="ABV222" s="6"/>
      <c r="ABW222" s="6"/>
      <c r="ABX222" s="6"/>
      <c r="ABY222" s="6"/>
      <c r="ABZ222" s="6"/>
      <c r="ACA222" s="6"/>
      <c r="ACB222" s="6"/>
      <c r="ACC222" s="6"/>
      <c r="ACD222" s="6"/>
      <c r="ACE222" s="6"/>
      <c r="ACF222" s="6"/>
      <c r="ACG222" s="6"/>
      <c r="ACH222" s="6"/>
      <c r="ACI222" s="6"/>
      <c r="ACJ222" s="6"/>
      <c r="ACK222" s="6"/>
      <c r="ACL222" s="6"/>
      <c r="ACM222" s="6"/>
      <c r="ACN222" s="6"/>
      <c r="ACO222" s="6"/>
      <c r="ACP222" s="6"/>
      <c r="ACQ222" s="6"/>
      <c r="ACR222" s="6"/>
      <c r="ACS222" s="6"/>
      <c r="ACT222" s="6"/>
      <c r="ACU222" s="6"/>
      <c r="ACV222" s="6"/>
      <c r="ACW222" s="6"/>
      <c r="ACX222" s="6"/>
      <c r="ACY222" s="6"/>
      <c r="ACZ222" s="6"/>
      <c r="ADA222" s="6"/>
      <c r="ADB222" s="6"/>
      <c r="ADC222" s="6"/>
      <c r="ADD222" s="6"/>
      <c r="ADE222" s="6"/>
      <c r="ADF222" s="6"/>
      <c r="ADG222" s="6"/>
      <c r="ADH222" s="6"/>
      <c r="ADI222" s="6"/>
      <c r="ADJ222" s="6"/>
    </row>
    <row r="223" spans="1:790" s="291" customFormat="1" ht="15" thickBot="1" x14ac:dyDescent="0.35">
      <c r="A223" s="440"/>
      <c r="B223" s="576"/>
      <c r="C223" s="441"/>
      <c r="D223" s="442"/>
      <c r="E223" s="442"/>
      <c r="F223" s="442"/>
      <c r="G223" s="442"/>
      <c r="H223" s="442"/>
      <c r="I223" s="443"/>
      <c r="J223" s="442"/>
      <c r="K223" s="444"/>
      <c r="L223" s="445"/>
      <c r="M223" s="498"/>
      <c r="N223" s="498"/>
      <c r="O223" s="408"/>
      <c r="Q223" s="498"/>
      <c r="R223" s="481"/>
      <c r="S223" s="514"/>
      <c r="T223" s="515"/>
      <c r="U223" s="482"/>
      <c r="V223" s="514"/>
      <c r="W223" s="515"/>
      <c r="X223" s="507"/>
      <c r="Y223" s="507"/>
      <c r="Z223" s="478"/>
      <c r="AA223" s="471"/>
      <c r="AB223" s="471"/>
      <c r="AC223" s="471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6"/>
      <c r="IK223" s="6"/>
      <c r="IL223" s="6"/>
      <c r="IM223" s="6"/>
      <c r="IN223" s="6"/>
      <c r="IO223" s="6"/>
      <c r="IP223" s="6"/>
      <c r="IQ223" s="6"/>
      <c r="IR223" s="6"/>
      <c r="IS223" s="6"/>
      <c r="IT223" s="6"/>
      <c r="IU223" s="6"/>
      <c r="IV223" s="6"/>
      <c r="IW223" s="6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6"/>
      <c r="KZ223" s="6"/>
      <c r="LA223" s="6"/>
      <c r="LB223" s="6"/>
      <c r="LC223" s="6"/>
      <c r="LD223" s="6"/>
      <c r="LE223" s="6"/>
      <c r="LF223" s="6"/>
      <c r="LG223" s="6"/>
      <c r="LH223" s="6"/>
      <c r="LI223" s="6"/>
      <c r="LJ223" s="6"/>
      <c r="LK223" s="6"/>
      <c r="LL223" s="6"/>
      <c r="LM223" s="6"/>
      <c r="LN223" s="6"/>
      <c r="LO223" s="6"/>
      <c r="LP223" s="6"/>
      <c r="LQ223" s="6"/>
      <c r="LR223" s="6"/>
      <c r="LS223" s="6"/>
      <c r="LT223" s="6"/>
      <c r="LU223" s="6"/>
      <c r="LV223" s="6"/>
      <c r="LW223" s="6"/>
      <c r="LX223" s="6"/>
      <c r="LY223" s="6"/>
      <c r="LZ223" s="6"/>
      <c r="MA223" s="6"/>
      <c r="MB223" s="6"/>
      <c r="MC223" s="6"/>
      <c r="MD223" s="6"/>
      <c r="ME223" s="6"/>
      <c r="MF223" s="6"/>
      <c r="MG223" s="6"/>
      <c r="MH223" s="6"/>
      <c r="MI223" s="6"/>
      <c r="MJ223" s="6"/>
      <c r="MK223" s="6"/>
      <c r="ML223" s="6"/>
      <c r="MM223" s="6"/>
      <c r="MN223" s="6"/>
      <c r="MO223" s="6"/>
      <c r="MP223" s="6"/>
      <c r="MQ223" s="6"/>
      <c r="MR223" s="6"/>
      <c r="MS223" s="6"/>
      <c r="MT223" s="6"/>
      <c r="MU223" s="6"/>
      <c r="MV223" s="6"/>
      <c r="MW223" s="6"/>
      <c r="MX223" s="6"/>
      <c r="MY223" s="6"/>
      <c r="MZ223" s="6"/>
      <c r="NA223" s="6"/>
      <c r="NB223" s="6"/>
      <c r="NC223" s="6"/>
      <c r="ND223" s="6"/>
      <c r="NE223" s="6"/>
      <c r="NF223" s="6"/>
      <c r="NG223" s="6"/>
      <c r="NH223" s="6"/>
      <c r="NI223" s="6"/>
      <c r="NJ223" s="6"/>
      <c r="NK223" s="6"/>
      <c r="NL223" s="6"/>
      <c r="NM223" s="6"/>
      <c r="NN223" s="6"/>
      <c r="NO223" s="6"/>
      <c r="NP223" s="6"/>
      <c r="NQ223" s="6"/>
      <c r="NR223" s="6"/>
      <c r="NS223" s="6"/>
      <c r="NT223" s="6"/>
      <c r="NU223" s="6"/>
      <c r="NV223" s="6"/>
      <c r="NW223" s="6"/>
      <c r="NX223" s="6"/>
      <c r="NY223" s="6"/>
      <c r="NZ223" s="6"/>
      <c r="OA223" s="6"/>
      <c r="OB223" s="6"/>
      <c r="OC223" s="6"/>
      <c r="OD223" s="6"/>
      <c r="OE223" s="6"/>
      <c r="OF223" s="6"/>
      <c r="OG223" s="6"/>
      <c r="OH223" s="6"/>
      <c r="OI223" s="6"/>
      <c r="OJ223" s="6"/>
      <c r="OK223" s="6"/>
      <c r="OL223" s="6"/>
      <c r="OM223" s="6"/>
      <c r="ON223" s="6"/>
      <c r="OO223" s="6"/>
      <c r="OP223" s="6"/>
      <c r="OQ223" s="6"/>
      <c r="OR223" s="6"/>
      <c r="OS223" s="6"/>
      <c r="OT223" s="6"/>
      <c r="OU223" s="6"/>
      <c r="OV223" s="6"/>
      <c r="OW223" s="6"/>
      <c r="OX223" s="6"/>
      <c r="OY223" s="6"/>
      <c r="OZ223" s="6"/>
      <c r="PA223" s="6"/>
      <c r="PB223" s="6"/>
      <c r="PC223" s="6"/>
      <c r="PD223" s="6"/>
      <c r="PE223" s="6"/>
      <c r="PF223" s="6"/>
      <c r="PG223" s="6"/>
      <c r="PH223" s="6"/>
      <c r="PI223" s="6"/>
      <c r="PJ223" s="6"/>
      <c r="PK223" s="6"/>
      <c r="PL223" s="6"/>
      <c r="PM223" s="6"/>
      <c r="PN223" s="6"/>
      <c r="PO223" s="6"/>
      <c r="PP223" s="6"/>
      <c r="PQ223" s="6"/>
      <c r="PR223" s="6"/>
      <c r="PS223" s="6"/>
      <c r="PT223" s="6"/>
      <c r="PU223" s="6"/>
      <c r="PV223" s="6"/>
      <c r="PW223" s="6"/>
      <c r="PX223" s="6"/>
      <c r="PY223" s="6"/>
      <c r="PZ223" s="6"/>
      <c r="QA223" s="6"/>
      <c r="QB223" s="6"/>
      <c r="QC223" s="6"/>
      <c r="QD223" s="6"/>
      <c r="QE223" s="6"/>
      <c r="QF223" s="6"/>
      <c r="QG223" s="6"/>
      <c r="QH223" s="6"/>
      <c r="QI223" s="6"/>
      <c r="QJ223" s="6"/>
      <c r="QK223" s="6"/>
      <c r="QL223" s="6"/>
      <c r="QM223" s="6"/>
      <c r="QN223" s="6"/>
      <c r="QO223" s="6"/>
      <c r="QP223" s="6"/>
      <c r="QQ223" s="6"/>
      <c r="QR223" s="6"/>
      <c r="QS223" s="6"/>
      <c r="QT223" s="6"/>
      <c r="QU223" s="6"/>
      <c r="QV223" s="6"/>
      <c r="QW223" s="6"/>
      <c r="QX223" s="6"/>
      <c r="QY223" s="6"/>
      <c r="QZ223" s="6"/>
      <c r="RA223" s="6"/>
      <c r="RB223" s="6"/>
      <c r="RC223" s="6"/>
      <c r="RD223" s="6"/>
      <c r="RE223" s="6"/>
      <c r="RF223" s="6"/>
      <c r="RG223" s="6"/>
      <c r="RH223" s="6"/>
      <c r="RI223" s="6"/>
      <c r="RJ223" s="6"/>
      <c r="RK223" s="6"/>
      <c r="RL223" s="6"/>
      <c r="RM223" s="6"/>
      <c r="RN223" s="6"/>
      <c r="RO223" s="6"/>
      <c r="RP223" s="6"/>
      <c r="RQ223" s="6"/>
      <c r="RR223" s="6"/>
      <c r="RS223" s="6"/>
      <c r="RT223" s="6"/>
      <c r="RU223" s="6"/>
      <c r="RV223" s="6"/>
      <c r="RW223" s="6"/>
      <c r="RX223" s="6"/>
      <c r="RY223" s="6"/>
      <c r="RZ223" s="6"/>
      <c r="SA223" s="6"/>
      <c r="SB223" s="6"/>
      <c r="SC223" s="6"/>
      <c r="SD223" s="6"/>
      <c r="SE223" s="6"/>
      <c r="SF223" s="6"/>
      <c r="SG223" s="6"/>
      <c r="SH223" s="6"/>
      <c r="SI223" s="6"/>
      <c r="SJ223" s="6"/>
      <c r="SK223" s="6"/>
      <c r="SL223" s="6"/>
      <c r="SM223" s="6"/>
      <c r="SN223" s="6"/>
      <c r="SO223" s="6"/>
      <c r="SP223" s="6"/>
      <c r="SQ223" s="6"/>
      <c r="SR223" s="6"/>
      <c r="SS223" s="6"/>
      <c r="ST223" s="6"/>
      <c r="SU223" s="6"/>
      <c r="SV223" s="6"/>
      <c r="SW223" s="6"/>
      <c r="SX223" s="6"/>
      <c r="SY223" s="6"/>
      <c r="SZ223" s="6"/>
      <c r="TA223" s="6"/>
      <c r="TB223" s="6"/>
      <c r="TC223" s="6"/>
      <c r="TD223" s="6"/>
      <c r="TE223" s="6"/>
      <c r="TF223" s="6"/>
      <c r="TG223" s="6"/>
      <c r="TH223" s="6"/>
      <c r="TI223" s="6"/>
      <c r="TJ223" s="6"/>
      <c r="TK223" s="6"/>
      <c r="TL223" s="6"/>
      <c r="TM223" s="6"/>
      <c r="TN223" s="6"/>
      <c r="TO223" s="6"/>
      <c r="TP223" s="6"/>
      <c r="TQ223" s="6"/>
      <c r="TR223" s="6"/>
      <c r="TS223" s="6"/>
      <c r="TT223" s="6"/>
      <c r="TU223" s="6"/>
      <c r="TV223" s="6"/>
      <c r="TW223" s="6"/>
      <c r="TX223" s="6"/>
      <c r="TY223" s="6"/>
      <c r="TZ223" s="6"/>
      <c r="UA223" s="6"/>
      <c r="UB223" s="6"/>
      <c r="UC223" s="6"/>
      <c r="UD223" s="6"/>
      <c r="UE223" s="6"/>
      <c r="UF223" s="6"/>
      <c r="UG223" s="6"/>
      <c r="UH223" s="6"/>
      <c r="UI223" s="6"/>
      <c r="UJ223" s="6"/>
      <c r="UK223" s="6"/>
      <c r="UL223" s="6"/>
      <c r="UM223" s="6"/>
      <c r="UN223" s="6"/>
      <c r="UO223" s="6"/>
      <c r="UP223" s="6"/>
      <c r="UQ223" s="6"/>
      <c r="UR223" s="6"/>
      <c r="US223" s="6"/>
      <c r="UT223" s="6"/>
      <c r="UU223" s="6"/>
      <c r="UV223" s="6"/>
      <c r="UW223" s="6"/>
      <c r="UX223" s="6"/>
      <c r="UY223" s="6"/>
      <c r="UZ223" s="6"/>
      <c r="VA223" s="6"/>
      <c r="VB223" s="6"/>
      <c r="VC223" s="6"/>
      <c r="VD223" s="6"/>
      <c r="VE223" s="6"/>
      <c r="VF223" s="6"/>
      <c r="VG223" s="6"/>
      <c r="VH223" s="6"/>
      <c r="VI223" s="6"/>
      <c r="VJ223" s="6"/>
      <c r="VK223" s="6"/>
      <c r="VL223" s="6"/>
      <c r="VM223" s="6"/>
      <c r="VN223" s="6"/>
      <c r="VO223" s="6"/>
      <c r="VP223" s="6"/>
      <c r="VQ223" s="6"/>
      <c r="VR223" s="6"/>
      <c r="VS223" s="6"/>
      <c r="VT223" s="6"/>
      <c r="VU223" s="6"/>
      <c r="VV223" s="6"/>
      <c r="VW223" s="6"/>
      <c r="VX223" s="6"/>
      <c r="VY223" s="6"/>
      <c r="VZ223" s="6"/>
      <c r="WA223" s="6"/>
      <c r="WB223" s="6"/>
      <c r="WC223" s="6"/>
      <c r="WD223" s="6"/>
      <c r="WE223" s="6"/>
      <c r="WF223" s="6"/>
      <c r="WG223" s="6"/>
      <c r="WH223" s="6"/>
      <c r="WI223" s="6"/>
      <c r="WJ223" s="6"/>
      <c r="WK223" s="6"/>
      <c r="WL223" s="6"/>
      <c r="WM223" s="6"/>
      <c r="WN223" s="6"/>
      <c r="WO223" s="6"/>
      <c r="WP223" s="6"/>
      <c r="WQ223" s="6"/>
      <c r="WR223" s="6"/>
      <c r="WS223" s="6"/>
      <c r="WT223" s="6"/>
      <c r="WU223" s="6"/>
      <c r="WV223" s="6"/>
      <c r="WW223" s="6"/>
      <c r="WX223" s="6"/>
      <c r="WY223" s="6"/>
      <c r="WZ223" s="6"/>
      <c r="XA223" s="6"/>
      <c r="XB223" s="6"/>
      <c r="XC223" s="6"/>
      <c r="XD223" s="6"/>
      <c r="XE223" s="6"/>
      <c r="XF223" s="6"/>
      <c r="XG223" s="6"/>
      <c r="XH223" s="6"/>
      <c r="XI223" s="6"/>
      <c r="XJ223" s="6"/>
      <c r="XK223" s="6"/>
      <c r="XL223" s="6"/>
      <c r="XM223" s="6"/>
      <c r="XN223" s="6"/>
      <c r="XO223" s="6"/>
      <c r="XP223" s="6"/>
      <c r="XQ223" s="6"/>
      <c r="XR223" s="6"/>
      <c r="XS223" s="6"/>
      <c r="XT223" s="6"/>
      <c r="XU223" s="6"/>
      <c r="XV223" s="6"/>
      <c r="XW223" s="6"/>
      <c r="XX223" s="6"/>
      <c r="XY223" s="6"/>
      <c r="XZ223" s="6"/>
      <c r="YA223" s="6"/>
      <c r="YB223" s="6"/>
      <c r="YC223" s="6"/>
      <c r="YD223" s="6"/>
      <c r="YE223" s="6"/>
      <c r="YF223" s="6"/>
      <c r="YG223" s="6"/>
      <c r="YH223" s="6"/>
      <c r="YI223" s="6"/>
      <c r="YJ223" s="6"/>
      <c r="YK223" s="6"/>
      <c r="YL223" s="6"/>
      <c r="YM223" s="6"/>
      <c r="YN223" s="6"/>
      <c r="YO223" s="6"/>
      <c r="YP223" s="6"/>
      <c r="YQ223" s="6"/>
      <c r="YR223" s="6"/>
      <c r="YS223" s="6"/>
      <c r="YT223" s="6"/>
      <c r="YU223" s="6"/>
      <c r="YV223" s="6"/>
      <c r="YW223" s="6"/>
      <c r="YX223" s="6"/>
      <c r="YY223" s="6"/>
      <c r="YZ223" s="6"/>
      <c r="ZA223" s="6"/>
      <c r="ZB223" s="6"/>
      <c r="ZC223" s="6"/>
      <c r="ZD223" s="6"/>
      <c r="ZE223" s="6"/>
      <c r="ZF223" s="6"/>
      <c r="ZG223" s="6"/>
      <c r="ZH223" s="6"/>
      <c r="ZI223" s="6"/>
      <c r="ZJ223" s="6"/>
      <c r="ZK223" s="6"/>
      <c r="ZL223" s="6"/>
      <c r="ZM223" s="6"/>
      <c r="ZN223" s="6"/>
      <c r="ZO223" s="6"/>
      <c r="ZP223" s="6"/>
      <c r="ZQ223" s="6"/>
      <c r="ZR223" s="6"/>
      <c r="ZS223" s="6"/>
      <c r="ZT223" s="6"/>
      <c r="ZU223" s="6"/>
      <c r="ZV223" s="6"/>
      <c r="ZW223" s="6"/>
      <c r="ZX223" s="6"/>
      <c r="ZY223" s="6"/>
      <c r="ZZ223" s="6"/>
      <c r="AAA223" s="6"/>
      <c r="AAB223" s="6"/>
      <c r="AAC223" s="6"/>
      <c r="AAD223" s="6"/>
      <c r="AAE223" s="6"/>
      <c r="AAF223" s="6"/>
      <c r="AAG223" s="6"/>
      <c r="AAH223" s="6"/>
      <c r="AAI223" s="6"/>
      <c r="AAJ223" s="6"/>
      <c r="AAK223" s="6"/>
      <c r="AAL223" s="6"/>
      <c r="AAM223" s="6"/>
      <c r="AAN223" s="6"/>
      <c r="AAO223" s="6"/>
      <c r="AAP223" s="6"/>
      <c r="AAQ223" s="6"/>
      <c r="AAR223" s="6"/>
      <c r="AAS223" s="6"/>
      <c r="AAT223" s="6"/>
      <c r="AAU223" s="6"/>
      <c r="AAV223" s="6"/>
      <c r="AAW223" s="6"/>
      <c r="AAX223" s="6"/>
      <c r="AAY223" s="6"/>
      <c r="AAZ223" s="6"/>
      <c r="ABA223" s="6"/>
      <c r="ABB223" s="6"/>
      <c r="ABC223" s="6"/>
      <c r="ABD223" s="6"/>
      <c r="ABE223" s="6"/>
      <c r="ABF223" s="6"/>
      <c r="ABG223" s="6"/>
      <c r="ABH223" s="6"/>
      <c r="ABI223" s="6"/>
      <c r="ABJ223" s="6"/>
      <c r="ABK223" s="6"/>
      <c r="ABL223" s="6"/>
      <c r="ABM223" s="6"/>
      <c r="ABN223" s="6"/>
      <c r="ABO223" s="6"/>
      <c r="ABP223" s="6"/>
      <c r="ABQ223" s="6"/>
      <c r="ABR223" s="6"/>
      <c r="ABS223" s="6"/>
      <c r="ABT223" s="6"/>
      <c r="ABU223" s="6"/>
      <c r="ABV223" s="6"/>
      <c r="ABW223" s="6"/>
      <c r="ABX223" s="6"/>
      <c r="ABY223" s="6"/>
      <c r="ABZ223" s="6"/>
      <c r="ACA223" s="6"/>
      <c r="ACB223" s="6"/>
      <c r="ACC223" s="6"/>
      <c r="ACD223" s="6"/>
      <c r="ACE223" s="6"/>
      <c r="ACF223" s="6"/>
      <c r="ACG223" s="6"/>
      <c r="ACH223" s="6"/>
      <c r="ACI223" s="6"/>
      <c r="ACJ223" s="6"/>
      <c r="ACK223" s="6"/>
      <c r="ACL223" s="6"/>
      <c r="ACM223" s="6"/>
      <c r="ACN223" s="6"/>
      <c r="ACO223" s="6"/>
      <c r="ACP223" s="6"/>
      <c r="ACQ223" s="6"/>
      <c r="ACR223" s="6"/>
      <c r="ACS223" s="6"/>
      <c r="ACT223" s="6"/>
      <c r="ACU223" s="6"/>
      <c r="ACV223" s="6"/>
      <c r="ACW223" s="6"/>
      <c r="ACX223" s="6"/>
      <c r="ACY223" s="6"/>
      <c r="ACZ223" s="6"/>
      <c r="ADA223" s="6"/>
      <c r="ADB223" s="6"/>
      <c r="ADC223" s="6"/>
      <c r="ADD223" s="6"/>
      <c r="ADE223" s="6"/>
      <c r="ADF223" s="6"/>
      <c r="ADG223" s="6"/>
      <c r="ADH223" s="6"/>
      <c r="ADI223" s="6"/>
      <c r="ADJ223" s="6"/>
    </row>
    <row r="224" spans="1:790" ht="15" thickBot="1" x14ac:dyDescent="0.35">
      <c r="A224" s="341" t="s">
        <v>178</v>
      </c>
      <c r="B224" s="560" t="s">
        <v>129</v>
      </c>
      <c r="C224" s="342"/>
      <c r="D224" s="343"/>
      <c r="E224" s="343"/>
      <c r="F224" s="343"/>
      <c r="G224" s="343"/>
      <c r="H224" s="343"/>
      <c r="I224" s="343"/>
      <c r="J224" s="344"/>
      <c r="K224" s="345"/>
      <c r="L224" s="346"/>
      <c r="M224" s="486"/>
      <c r="N224" s="486"/>
      <c r="O224" s="308"/>
      <c r="Q224" s="486"/>
      <c r="R224" s="481"/>
      <c r="S224" s="514"/>
      <c r="T224" s="515"/>
      <c r="U224" s="482"/>
      <c r="V224" s="514"/>
      <c r="W224" s="515"/>
      <c r="Y224" s="520"/>
      <c r="Z224" s="521"/>
    </row>
    <row r="225" spans="1:790" ht="15" thickBot="1" x14ac:dyDescent="0.35">
      <c r="A225" s="399"/>
      <c r="B225" s="446" t="s">
        <v>130</v>
      </c>
      <c r="C225" s="434"/>
      <c r="D225" s="435"/>
      <c r="E225" s="435"/>
      <c r="F225" s="435"/>
      <c r="G225" s="447"/>
      <c r="H225" s="367">
        <f>2941.16*0.2</f>
        <v>588.23199999999997</v>
      </c>
      <c r="I225" s="369" t="s">
        <v>22</v>
      </c>
      <c r="J225" s="362">
        <f>H225</f>
        <v>588.23199999999997</v>
      </c>
      <c r="K225" s="363">
        <v>7</v>
      </c>
      <c r="L225" s="448">
        <f>J225*K225</f>
        <v>4117.6239999999998</v>
      </c>
      <c r="M225" s="490">
        <f t="shared" ref="M225" si="235">K225*(100%-16.5%)</f>
        <v>5.8449999999999998</v>
      </c>
      <c r="N225" s="499">
        <f t="shared" ref="N225" si="236">IF(M225&gt;0,M225*J225,"")</f>
        <v>3438.2160399999998</v>
      </c>
      <c r="O225" s="308"/>
      <c r="Q225" s="505"/>
      <c r="R225" s="481">
        <f>IF(N225&gt;0,J225,"")</f>
        <v>588.23199999999997</v>
      </c>
      <c r="S225" s="514">
        <v>2</v>
      </c>
      <c r="T225" s="515">
        <f t="shared" ref="T225" si="237">IF(S225&gt;0,S225*R225,"")</f>
        <v>1176.4639999999999</v>
      </c>
      <c r="U225" s="482">
        <f>IF(R225&gt;0,R225,"")</f>
        <v>588.23199999999997</v>
      </c>
      <c r="V225" s="514"/>
      <c r="W225" s="515" t="str">
        <f t="shared" ref="W225" si="238">IF(V225&gt;0,V225*U225,"")</f>
        <v/>
      </c>
      <c r="X225" s="507">
        <f t="shared" ref="X225" si="239">V225+S225</f>
        <v>2</v>
      </c>
      <c r="Y225" s="520">
        <f t="shared" ref="Y225" si="240">M225-X225</f>
        <v>3.8449999999999998</v>
      </c>
      <c r="Z225" s="521">
        <f t="shared" ref="Z225" si="241">Y225/M225</f>
        <v>0.65782720273738238</v>
      </c>
    </row>
    <row r="226" spans="1:790" ht="15" thickBot="1" x14ac:dyDescent="0.35">
      <c r="A226" s="379" t="s">
        <v>178</v>
      </c>
      <c r="B226" s="564" t="s">
        <v>131</v>
      </c>
      <c r="C226" s="380"/>
      <c r="D226" s="381"/>
      <c r="E226" s="381"/>
      <c r="F226" s="381"/>
      <c r="G226" s="381"/>
      <c r="H226" s="381"/>
      <c r="I226" s="381"/>
      <c r="J226" s="382"/>
      <c r="K226" s="383"/>
      <c r="L226" s="449">
        <f>L225</f>
        <v>4117.6239999999998</v>
      </c>
      <c r="M226" s="494"/>
      <c r="N226" s="494">
        <f>SUM(N225)</f>
        <v>3438.2160399999998</v>
      </c>
      <c r="O226" s="408"/>
      <c r="Q226" s="494"/>
      <c r="R226" s="384"/>
      <c r="S226" s="516"/>
      <c r="T226" s="516">
        <f>SUM(T225)</f>
        <v>1176.4639999999999</v>
      </c>
      <c r="U226" s="384"/>
      <c r="V226" s="516"/>
      <c r="W226" s="516">
        <f>SUM(W225)</f>
        <v>0</v>
      </c>
      <c r="AA226" s="516">
        <f>SUM(R226:W226)</f>
        <v>1176.4639999999999</v>
      </c>
      <c r="AB226" s="518">
        <f>N226-AA226</f>
        <v>2261.7520399999999</v>
      </c>
      <c r="AC226" s="519">
        <f>AB226/L226</f>
        <v>0.54928571428571427</v>
      </c>
    </row>
    <row r="227" spans="1:790" ht="15" thickBot="1" x14ac:dyDescent="0.35">
      <c r="A227" s="450"/>
      <c r="B227" s="577"/>
      <c r="C227" s="451"/>
      <c r="D227" s="452"/>
      <c r="E227" s="452"/>
      <c r="F227" s="452"/>
      <c r="G227" s="452"/>
      <c r="H227" s="452"/>
      <c r="I227" s="452"/>
      <c r="J227" s="453"/>
      <c r="K227" s="339"/>
      <c r="L227" s="340"/>
      <c r="M227" s="485"/>
      <c r="N227" s="485"/>
      <c r="O227" s="308"/>
      <c r="Q227" s="485"/>
      <c r="R227" s="481"/>
      <c r="S227" s="514"/>
      <c r="T227" s="515"/>
      <c r="U227" s="482"/>
      <c r="V227" s="514"/>
      <c r="W227" s="515"/>
    </row>
    <row r="228" spans="1:790" ht="15" thickBot="1" x14ac:dyDescent="0.35">
      <c r="A228" s="454"/>
      <c r="B228" s="578"/>
      <c r="C228" s="455"/>
      <c r="D228" s="455"/>
      <c r="E228" s="455"/>
      <c r="F228" s="455"/>
      <c r="G228" s="455"/>
      <c r="H228" s="455"/>
      <c r="I228" s="456"/>
      <c r="J228" s="455"/>
      <c r="K228" s="457" t="s">
        <v>132</v>
      </c>
      <c r="L228" s="458">
        <f>L79+L222+L226+L28</f>
        <v>505313.16433</v>
      </c>
      <c r="M228" s="500"/>
      <c r="N228" s="500">
        <f>N79+N222+N226+N28</f>
        <v>696472.70201554988</v>
      </c>
      <c r="O228" s="429"/>
      <c r="Q228" s="527"/>
      <c r="R228" s="528"/>
      <c r="S228" s="529"/>
      <c r="T228" s="530">
        <f>T79+T222+T226+T28</f>
        <v>164145.39675999997</v>
      </c>
      <c r="U228" s="528"/>
      <c r="V228" s="529"/>
      <c r="W228" s="530">
        <f>W79+W222+W226+W28</f>
        <v>289014.33600000001</v>
      </c>
      <c r="AA228" s="531">
        <f>AA79+AA222+AA226+AA28</f>
        <v>453159.73275999998</v>
      </c>
      <c r="AB228" s="518">
        <f>N228-AA228</f>
        <v>243312.96925554989</v>
      </c>
      <c r="AC228" s="519">
        <f>AB228/L228</f>
        <v>0.48150926283141882</v>
      </c>
    </row>
    <row r="229" spans="1:790" ht="15" thickBot="1" x14ac:dyDescent="0.35">
      <c r="A229" s="459"/>
      <c r="B229" s="579"/>
      <c r="C229" s="460"/>
      <c r="D229" s="460"/>
      <c r="E229" s="460"/>
      <c r="F229" s="460"/>
      <c r="G229" s="460"/>
      <c r="H229" s="460"/>
      <c r="I229" s="461"/>
      <c r="J229" s="460"/>
      <c r="K229" s="462"/>
      <c r="L229" s="391"/>
      <c r="M229" s="493"/>
      <c r="N229" s="493"/>
      <c r="O229" s="308"/>
      <c r="Q229" s="493"/>
      <c r="R229" s="481"/>
      <c r="S229" s="514"/>
      <c r="T229" s="515"/>
      <c r="U229" s="482"/>
      <c r="V229" s="514"/>
      <c r="W229" s="515"/>
    </row>
    <row r="230" spans="1:790" ht="15" thickBot="1" x14ac:dyDescent="0.35">
      <c r="A230" s="341" t="s">
        <v>133</v>
      </c>
      <c r="B230" s="560" t="s">
        <v>134</v>
      </c>
      <c r="C230" s="342"/>
      <c r="D230" s="343"/>
      <c r="E230" s="343"/>
      <c r="F230" s="343"/>
      <c r="G230" s="343"/>
      <c r="H230" s="343"/>
      <c r="I230" s="343"/>
      <c r="J230" s="344"/>
      <c r="K230" s="345"/>
      <c r="L230" s="346"/>
      <c r="M230" s="486"/>
      <c r="N230" s="486"/>
      <c r="O230" s="308"/>
      <c r="Q230" s="486"/>
      <c r="R230" s="481"/>
      <c r="S230" s="514"/>
      <c r="T230" s="515"/>
      <c r="U230" s="482"/>
      <c r="V230" s="514"/>
      <c r="W230" s="515"/>
    </row>
    <row r="231" spans="1:790" ht="15" thickBot="1" x14ac:dyDescent="0.35">
      <c r="A231" s="463"/>
      <c r="B231" s="580" t="s">
        <v>135</v>
      </c>
      <c r="C231" s="342"/>
      <c r="D231" s="343"/>
      <c r="E231" s="343"/>
      <c r="F231" s="343"/>
      <c r="G231" s="343"/>
      <c r="H231" s="343"/>
      <c r="I231" s="343"/>
      <c r="J231" s="344"/>
      <c r="K231" s="345"/>
      <c r="L231" s="346"/>
      <c r="M231" s="486"/>
      <c r="N231" s="486"/>
      <c r="O231" s="308"/>
      <c r="Q231" s="486"/>
      <c r="R231" s="481"/>
      <c r="S231" s="514"/>
      <c r="T231" s="515"/>
      <c r="U231" s="482"/>
      <c r="V231" s="514"/>
      <c r="W231" s="515"/>
    </row>
    <row r="232" spans="1:790" s="464" customFormat="1" x14ac:dyDescent="0.3">
      <c r="A232" s="599"/>
      <c r="B232" s="600"/>
      <c r="C232" s="601"/>
      <c r="D232" s="602"/>
      <c r="E232" s="602"/>
      <c r="F232" s="603"/>
      <c r="G232" s="603"/>
      <c r="H232" s="603"/>
      <c r="I232" s="604"/>
      <c r="J232" s="605"/>
      <c r="K232" s="606"/>
      <c r="L232" s="607"/>
      <c r="M232" s="608"/>
      <c r="N232" s="608"/>
      <c r="O232" s="609"/>
      <c r="P232" s="610"/>
      <c r="Q232" s="608"/>
      <c r="R232" s="481"/>
      <c r="S232" s="514"/>
      <c r="T232" s="515"/>
      <c r="U232" s="482"/>
      <c r="V232" s="514"/>
      <c r="W232" s="515"/>
      <c r="X232" s="517"/>
      <c r="Y232" s="517"/>
      <c r="Z232" s="423"/>
      <c r="AA232" s="423"/>
      <c r="AB232" s="423"/>
      <c r="AC232" s="423"/>
      <c r="AD232" s="423"/>
      <c r="AE232" s="423"/>
      <c r="AF232" s="423"/>
      <c r="AG232" s="423"/>
      <c r="AH232" s="423"/>
      <c r="AI232" s="423"/>
      <c r="AJ232" s="423"/>
      <c r="AK232" s="423"/>
      <c r="AL232" s="423"/>
      <c r="AM232" s="423"/>
      <c r="AN232" s="423"/>
      <c r="AO232" s="423"/>
      <c r="AP232" s="423"/>
      <c r="AQ232" s="423"/>
      <c r="AR232" s="423"/>
      <c r="AS232" s="423"/>
      <c r="AT232" s="423"/>
      <c r="AU232" s="423"/>
      <c r="AV232" s="423"/>
      <c r="AW232" s="423"/>
      <c r="AX232" s="423"/>
      <c r="AY232" s="423"/>
      <c r="AZ232" s="423"/>
      <c r="BA232" s="423"/>
      <c r="BB232" s="423"/>
      <c r="BC232" s="423"/>
      <c r="BD232" s="423"/>
      <c r="BE232" s="423"/>
      <c r="BF232" s="423"/>
      <c r="BG232" s="423"/>
      <c r="BH232" s="423"/>
      <c r="BI232" s="423"/>
      <c r="BJ232" s="423"/>
      <c r="BK232" s="423"/>
      <c r="BL232" s="423"/>
      <c r="BM232" s="423"/>
      <c r="BN232" s="423"/>
      <c r="BO232" s="423"/>
      <c r="BP232" s="423"/>
      <c r="BQ232" s="423"/>
      <c r="BR232" s="423"/>
      <c r="BS232" s="423"/>
      <c r="BT232" s="423"/>
      <c r="BU232" s="423"/>
      <c r="BV232" s="423"/>
      <c r="BW232" s="423"/>
      <c r="BX232" s="423"/>
      <c r="BY232" s="423"/>
      <c r="BZ232" s="423"/>
      <c r="CA232" s="423"/>
      <c r="CB232" s="423"/>
      <c r="CC232" s="423"/>
      <c r="CD232" s="423"/>
      <c r="CE232" s="423"/>
      <c r="CF232" s="423"/>
      <c r="CG232" s="423"/>
      <c r="CH232" s="423"/>
      <c r="CI232" s="423"/>
      <c r="CJ232" s="423"/>
      <c r="CK232" s="423"/>
      <c r="CL232" s="423"/>
      <c r="CM232" s="423"/>
      <c r="CN232" s="423"/>
      <c r="CO232" s="423"/>
      <c r="CP232" s="423"/>
      <c r="CQ232" s="423"/>
      <c r="CR232" s="423"/>
      <c r="CS232" s="423"/>
      <c r="CT232" s="423"/>
      <c r="CU232" s="423"/>
      <c r="CV232" s="423"/>
      <c r="CW232" s="423"/>
      <c r="CX232" s="423"/>
      <c r="CY232" s="423"/>
      <c r="CZ232" s="423"/>
      <c r="DA232" s="423"/>
      <c r="DB232" s="423"/>
      <c r="DC232" s="423"/>
      <c r="DD232" s="423"/>
      <c r="DE232" s="423"/>
      <c r="DF232" s="423"/>
      <c r="DG232" s="423"/>
      <c r="DH232" s="423"/>
      <c r="DI232" s="423"/>
      <c r="DJ232" s="423"/>
      <c r="DK232" s="423"/>
      <c r="DL232" s="423"/>
      <c r="DM232" s="423"/>
      <c r="DN232" s="423"/>
      <c r="DO232" s="423"/>
      <c r="DP232" s="423"/>
      <c r="DQ232" s="423"/>
      <c r="DR232" s="423"/>
      <c r="DS232" s="423"/>
      <c r="DT232" s="423"/>
      <c r="DU232" s="423"/>
      <c r="DV232" s="423"/>
      <c r="DW232" s="423"/>
      <c r="DX232" s="423"/>
      <c r="DY232" s="423"/>
      <c r="DZ232" s="423"/>
      <c r="EA232" s="423"/>
      <c r="EB232" s="423"/>
      <c r="EC232" s="423"/>
      <c r="ED232" s="423"/>
      <c r="EE232" s="423"/>
      <c r="EF232" s="423"/>
      <c r="EG232" s="423"/>
      <c r="EH232" s="423"/>
      <c r="EI232" s="423"/>
      <c r="EJ232" s="423"/>
      <c r="EK232" s="423"/>
      <c r="EL232" s="423"/>
      <c r="EM232" s="423"/>
      <c r="EN232" s="423"/>
      <c r="EO232" s="423"/>
      <c r="EP232" s="423"/>
      <c r="EQ232" s="423"/>
      <c r="ER232" s="423"/>
      <c r="ES232" s="423"/>
      <c r="ET232" s="423"/>
      <c r="EU232" s="423"/>
      <c r="EV232" s="423"/>
      <c r="EW232" s="423"/>
      <c r="EX232" s="423"/>
      <c r="EY232" s="423"/>
      <c r="EZ232" s="423"/>
      <c r="FA232" s="423"/>
      <c r="FB232" s="423"/>
      <c r="FC232" s="423"/>
      <c r="FD232" s="423"/>
      <c r="FE232" s="423"/>
      <c r="FF232" s="423"/>
      <c r="FG232" s="423"/>
      <c r="FH232" s="423"/>
      <c r="FI232" s="423"/>
      <c r="FJ232" s="423"/>
      <c r="FK232" s="423"/>
      <c r="FL232" s="423"/>
      <c r="FM232" s="423"/>
      <c r="FN232" s="423"/>
      <c r="FO232" s="423"/>
      <c r="FP232" s="423"/>
      <c r="FQ232" s="423"/>
      <c r="FR232" s="423"/>
      <c r="FS232" s="423"/>
      <c r="FT232" s="423"/>
      <c r="FU232" s="423"/>
      <c r="FV232" s="423"/>
      <c r="FW232" s="423"/>
      <c r="FX232" s="423"/>
      <c r="FY232" s="423"/>
      <c r="FZ232" s="423"/>
      <c r="GA232" s="423"/>
      <c r="GB232" s="423"/>
      <c r="GC232" s="423"/>
      <c r="GD232" s="423"/>
      <c r="GE232" s="423"/>
      <c r="GF232" s="423"/>
      <c r="GG232" s="423"/>
      <c r="GH232" s="423"/>
      <c r="GI232" s="423"/>
      <c r="GJ232" s="423"/>
      <c r="GK232" s="423"/>
      <c r="GL232" s="423"/>
      <c r="GM232" s="423"/>
      <c r="GN232" s="423"/>
      <c r="GO232" s="423"/>
      <c r="GP232" s="423"/>
      <c r="GQ232" s="423"/>
      <c r="GR232" s="423"/>
      <c r="GS232" s="423"/>
      <c r="GT232" s="423"/>
      <c r="GU232" s="423"/>
      <c r="GV232" s="423"/>
      <c r="GW232" s="423"/>
      <c r="GX232" s="423"/>
      <c r="GY232" s="423"/>
      <c r="GZ232" s="423"/>
      <c r="HA232" s="423"/>
      <c r="HB232" s="423"/>
      <c r="HC232" s="423"/>
      <c r="HD232" s="423"/>
      <c r="HE232" s="423"/>
      <c r="HF232" s="423"/>
      <c r="HG232" s="423"/>
      <c r="HH232" s="423"/>
      <c r="HI232" s="423"/>
      <c r="HJ232" s="423"/>
      <c r="HK232" s="423"/>
      <c r="HL232" s="423"/>
      <c r="HM232" s="423"/>
      <c r="HN232" s="423"/>
      <c r="HO232" s="423"/>
      <c r="HP232" s="423"/>
      <c r="HQ232" s="423"/>
      <c r="HR232" s="423"/>
      <c r="HS232" s="423"/>
      <c r="HT232" s="423"/>
      <c r="HU232" s="423"/>
      <c r="HV232" s="423"/>
      <c r="HW232" s="423"/>
      <c r="HX232" s="423"/>
      <c r="HY232" s="423"/>
      <c r="HZ232" s="423"/>
      <c r="IA232" s="423"/>
      <c r="IB232" s="423"/>
      <c r="IC232" s="423"/>
      <c r="ID232" s="423"/>
      <c r="IE232" s="423"/>
      <c r="IF232" s="423"/>
      <c r="IG232" s="423"/>
      <c r="IH232" s="423"/>
      <c r="II232" s="423"/>
      <c r="IJ232" s="423"/>
      <c r="IK232" s="423"/>
      <c r="IL232" s="423"/>
      <c r="IM232" s="423"/>
      <c r="IN232" s="423"/>
      <c r="IO232" s="423"/>
      <c r="IP232" s="423"/>
      <c r="IQ232" s="423"/>
      <c r="IR232" s="423"/>
      <c r="IS232" s="423"/>
      <c r="IT232" s="423"/>
      <c r="IU232" s="423"/>
      <c r="IV232" s="423"/>
      <c r="IW232" s="423"/>
      <c r="IX232" s="423"/>
      <c r="IY232" s="423"/>
      <c r="IZ232" s="423"/>
      <c r="JA232" s="423"/>
      <c r="JB232" s="423"/>
      <c r="JC232" s="423"/>
      <c r="JD232" s="423"/>
      <c r="JE232" s="423"/>
      <c r="JF232" s="423"/>
      <c r="JG232" s="423"/>
      <c r="JH232" s="423"/>
      <c r="JI232" s="423"/>
      <c r="JJ232" s="423"/>
      <c r="JK232" s="423"/>
      <c r="JL232" s="423"/>
      <c r="JM232" s="423"/>
      <c r="JN232" s="423"/>
      <c r="JO232" s="423"/>
      <c r="JP232" s="423"/>
      <c r="JQ232" s="423"/>
      <c r="JR232" s="423"/>
      <c r="JS232" s="423"/>
      <c r="JT232" s="423"/>
      <c r="JU232" s="423"/>
      <c r="JV232" s="423"/>
      <c r="JW232" s="423"/>
      <c r="JX232" s="423"/>
      <c r="JY232" s="423"/>
      <c r="JZ232" s="423"/>
      <c r="KA232" s="423"/>
      <c r="KB232" s="423"/>
      <c r="KC232" s="423"/>
      <c r="KD232" s="423"/>
      <c r="KE232" s="423"/>
      <c r="KF232" s="423"/>
      <c r="KG232" s="423"/>
      <c r="KH232" s="423"/>
      <c r="KI232" s="423"/>
      <c r="KJ232" s="423"/>
      <c r="KK232" s="423"/>
      <c r="KL232" s="423"/>
      <c r="KM232" s="423"/>
      <c r="KN232" s="423"/>
      <c r="KO232" s="423"/>
      <c r="KP232" s="423"/>
      <c r="KQ232" s="423"/>
      <c r="KR232" s="423"/>
      <c r="KS232" s="423"/>
      <c r="KT232" s="423"/>
      <c r="KU232" s="423"/>
      <c r="KV232" s="423"/>
      <c r="KW232" s="423"/>
      <c r="KX232" s="423"/>
      <c r="KY232" s="423"/>
      <c r="KZ232" s="423"/>
      <c r="LA232" s="423"/>
      <c r="LB232" s="423"/>
      <c r="LC232" s="423"/>
      <c r="LD232" s="423"/>
      <c r="LE232" s="423"/>
      <c r="LF232" s="423"/>
      <c r="LG232" s="423"/>
      <c r="LH232" s="423"/>
      <c r="LI232" s="423"/>
      <c r="LJ232" s="423"/>
      <c r="LK232" s="423"/>
      <c r="LL232" s="423"/>
      <c r="LM232" s="423"/>
      <c r="LN232" s="423"/>
      <c r="LO232" s="423"/>
      <c r="LP232" s="423"/>
      <c r="LQ232" s="423"/>
      <c r="LR232" s="423"/>
      <c r="LS232" s="423"/>
      <c r="LT232" s="423"/>
      <c r="LU232" s="423"/>
      <c r="LV232" s="423"/>
      <c r="LW232" s="423"/>
      <c r="LX232" s="423"/>
      <c r="LY232" s="423"/>
      <c r="LZ232" s="423"/>
      <c r="MA232" s="423"/>
      <c r="MB232" s="423"/>
      <c r="MC232" s="423"/>
      <c r="MD232" s="423"/>
      <c r="ME232" s="423"/>
      <c r="MF232" s="423"/>
      <c r="MG232" s="423"/>
      <c r="MH232" s="423"/>
      <c r="MI232" s="423"/>
      <c r="MJ232" s="423"/>
      <c r="MK232" s="423"/>
      <c r="ML232" s="423"/>
      <c r="MM232" s="423"/>
      <c r="MN232" s="423"/>
      <c r="MO232" s="423"/>
      <c r="MP232" s="423"/>
      <c r="MQ232" s="423"/>
      <c r="MR232" s="423"/>
      <c r="MS232" s="423"/>
      <c r="MT232" s="423"/>
      <c r="MU232" s="423"/>
      <c r="MV232" s="423"/>
      <c r="MW232" s="423"/>
      <c r="MX232" s="423"/>
      <c r="MY232" s="423"/>
      <c r="MZ232" s="423"/>
      <c r="NA232" s="423"/>
      <c r="NB232" s="423"/>
      <c r="NC232" s="423"/>
      <c r="ND232" s="423"/>
      <c r="NE232" s="423"/>
      <c r="NF232" s="423"/>
      <c r="NG232" s="423"/>
      <c r="NH232" s="423"/>
      <c r="NI232" s="423"/>
      <c r="NJ232" s="423"/>
      <c r="NK232" s="423"/>
      <c r="NL232" s="423"/>
      <c r="NM232" s="423"/>
      <c r="NN232" s="423"/>
      <c r="NO232" s="423"/>
      <c r="NP232" s="423"/>
      <c r="NQ232" s="423"/>
      <c r="NR232" s="423"/>
      <c r="NS232" s="423"/>
      <c r="NT232" s="423"/>
      <c r="NU232" s="423"/>
      <c r="NV232" s="423"/>
      <c r="NW232" s="423"/>
      <c r="NX232" s="423"/>
      <c r="NY232" s="423"/>
      <c r="NZ232" s="423"/>
      <c r="OA232" s="423"/>
      <c r="OB232" s="423"/>
      <c r="OC232" s="423"/>
      <c r="OD232" s="423"/>
      <c r="OE232" s="423"/>
      <c r="OF232" s="423"/>
      <c r="OG232" s="423"/>
      <c r="OH232" s="423"/>
      <c r="OI232" s="423"/>
      <c r="OJ232" s="423"/>
      <c r="OK232" s="423"/>
      <c r="OL232" s="423"/>
      <c r="OM232" s="423"/>
      <c r="ON232" s="423"/>
      <c r="OO232" s="423"/>
      <c r="OP232" s="423"/>
      <c r="OQ232" s="423"/>
      <c r="OR232" s="423"/>
      <c r="OS232" s="423"/>
      <c r="OT232" s="423"/>
      <c r="OU232" s="423"/>
      <c r="OV232" s="423"/>
      <c r="OW232" s="423"/>
      <c r="OX232" s="423"/>
      <c r="OY232" s="423"/>
      <c r="OZ232" s="423"/>
      <c r="PA232" s="423"/>
      <c r="PB232" s="423"/>
      <c r="PC232" s="423"/>
      <c r="PD232" s="423"/>
      <c r="PE232" s="423"/>
      <c r="PF232" s="423"/>
      <c r="PG232" s="423"/>
      <c r="PH232" s="423"/>
      <c r="PI232" s="423"/>
      <c r="PJ232" s="423"/>
      <c r="PK232" s="423"/>
      <c r="PL232" s="423"/>
      <c r="PM232" s="423"/>
      <c r="PN232" s="423"/>
      <c r="PO232" s="423"/>
      <c r="PP232" s="423"/>
      <c r="PQ232" s="423"/>
      <c r="PR232" s="423"/>
      <c r="PS232" s="423"/>
      <c r="PT232" s="423"/>
      <c r="PU232" s="423"/>
      <c r="PV232" s="423"/>
      <c r="PW232" s="423"/>
      <c r="PX232" s="423"/>
      <c r="PY232" s="423"/>
      <c r="PZ232" s="423"/>
      <c r="QA232" s="423"/>
      <c r="QB232" s="423"/>
      <c r="QC232" s="423"/>
      <c r="QD232" s="423"/>
      <c r="QE232" s="423"/>
      <c r="QF232" s="423"/>
      <c r="QG232" s="423"/>
      <c r="QH232" s="423"/>
      <c r="QI232" s="423"/>
      <c r="QJ232" s="423"/>
      <c r="QK232" s="423"/>
      <c r="QL232" s="423"/>
      <c r="QM232" s="423"/>
      <c r="QN232" s="423"/>
      <c r="QO232" s="423"/>
      <c r="QP232" s="423"/>
      <c r="QQ232" s="423"/>
      <c r="QR232" s="423"/>
      <c r="QS232" s="423"/>
      <c r="QT232" s="423"/>
      <c r="QU232" s="423"/>
      <c r="QV232" s="423"/>
      <c r="QW232" s="423"/>
      <c r="QX232" s="423"/>
      <c r="QY232" s="423"/>
      <c r="QZ232" s="423"/>
      <c r="RA232" s="423"/>
      <c r="RB232" s="423"/>
      <c r="RC232" s="423"/>
      <c r="RD232" s="423"/>
      <c r="RE232" s="423"/>
      <c r="RF232" s="423"/>
      <c r="RG232" s="423"/>
      <c r="RH232" s="423"/>
      <c r="RI232" s="423"/>
      <c r="RJ232" s="423"/>
      <c r="RK232" s="423"/>
      <c r="RL232" s="423"/>
      <c r="RM232" s="423"/>
      <c r="RN232" s="423"/>
      <c r="RO232" s="423"/>
      <c r="RP232" s="423"/>
      <c r="RQ232" s="423"/>
      <c r="RR232" s="423"/>
      <c r="RS232" s="423"/>
      <c r="RT232" s="423"/>
      <c r="RU232" s="423"/>
      <c r="RV232" s="423"/>
      <c r="RW232" s="423"/>
      <c r="RX232" s="423"/>
      <c r="RY232" s="423"/>
      <c r="RZ232" s="423"/>
      <c r="SA232" s="423"/>
      <c r="SB232" s="423"/>
      <c r="SC232" s="423"/>
      <c r="SD232" s="423"/>
      <c r="SE232" s="423"/>
      <c r="SF232" s="423"/>
      <c r="SG232" s="423"/>
      <c r="SH232" s="423"/>
      <c r="SI232" s="423"/>
      <c r="SJ232" s="423"/>
      <c r="SK232" s="423"/>
      <c r="SL232" s="423"/>
      <c r="SM232" s="423"/>
      <c r="SN232" s="423"/>
      <c r="SO232" s="423"/>
      <c r="SP232" s="423"/>
      <c r="SQ232" s="423"/>
      <c r="SR232" s="423"/>
      <c r="SS232" s="423"/>
      <c r="ST232" s="423"/>
      <c r="SU232" s="423"/>
      <c r="SV232" s="423"/>
      <c r="SW232" s="423"/>
      <c r="SX232" s="423"/>
      <c r="SY232" s="423"/>
      <c r="SZ232" s="423"/>
      <c r="TA232" s="423"/>
      <c r="TB232" s="423"/>
      <c r="TC232" s="423"/>
      <c r="TD232" s="423"/>
      <c r="TE232" s="423"/>
      <c r="TF232" s="423"/>
      <c r="TG232" s="423"/>
      <c r="TH232" s="423"/>
      <c r="TI232" s="423"/>
      <c r="TJ232" s="423"/>
      <c r="TK232" s="423"/>
      <c r="TL232" s="423"/>
      <c r="TM232" s="423"/>
      <c r="TN232" s="423"/>
      <c r="TO232" s="423"/>
      <c r="TP232" s="423"/>
      <c r="TQ232" s="423"/>
      <c r="TR232" s="423"/>
      <c r="TS232" s="423"/>
      <c r="TT232" s="423"/>
      <c r="TU232" s="423"/>
      <c r="TV232" s="423"/>
      <c r="TW232" s="423"/>
      <c r="TX232" s="423"/>
      <c r="TY232" s="423"/>
      <c r="TZ232" s="423"/>
      <c r="UA232" s="423"/>
      <c r="UB232" s="423"/>
      <c r="UC232" s="423"/>
      <c r="UD232" s="423"/>
      <c r="UE232" s="423"/>
      <c r="UF232" s="423"/>
      <c r="UG232" s="423"/>
      <c r="UH232" s="423"/>
      <c r="UI232" s="423"/>
      <c r="UJ232" s="423"/>
      <c r="UK232" s="423"/>
      <c r="UL232" s="423"/>
      <c r="UM232" s="423"/>
      <c r="UN232" s="423"/>
      <c r="UO232" s="423"/>
      <c r="UP232" s="423"/>
      <c r="UQ232" s="423"/>
      <c r="UR232" s="423"/>
      <c r="US232" s="423"/>
      <c r="UT232" s="423"/>
      <c r="UU232" s="423"/>
      <c r="UV232" s="423"/>
      <c r="UW232" s="423"/>
      <c r="UX232" s="423"/>
      <c r="UY232" s="423"/>
      <c r="UZ232" s="423"/>
      <c r="VA232" s="423"/>
      <c r="VB232" s="423"/>
      <c r="VC232" s="423"/>
      <c r="VD232" s="423"/>
      <c r="VE232" s="423"/>
      <c r="VF232" s="423"/>
      <c r="VG232" s="423"/>
      <c r="VH232" s="423"/>
      <c r="VI232" s="423"/>
      <c r="VJ232" s="423"/>
      <c r="VK232" s="423"/>
      <c r="VL232" s="423"/>
      <c r="VM232" s="423"/>
      <c r="VN232" s="423"/>
      <c r="VO232" s="423"/>
      <c r="VP232" s="423"/>
      <c r="VQ232" s="423"/>
      <c r="VR232" s="423"/>
      <c r="VS232" s="423"/>
      <c r="VT232" s="423"/>
      <c r="VU232" s="423"/>
      <c r="VV232" s="423"/>
      <c r="VW232" s="423"/>
      <c r="VX232" s="423"/>
      <c r="VY232" s="423"/>
      <c r="VZ232" s="423"/>
      <c r="WA232" s="423"/>
      <c r="WB232" s="423"/>
      <c r="WC232" s="423"/>
      <c r="WD232" s="423"/>
      <c r="WE232" s="423"/>
      <c r="WF232" s="423"/>
      <c r="WG232" s="423"/>
      <c r="WH232" s="423"/>
      <c r="WI232" s="423"/>
      <c r="WJ232" s="423"/>
      <c r="WK232" s="423"/>
      <c r="WL232" s="423"/>
      <c r="WM232" s="423"/>
      <c r="WN232" s="423"/>
      <c r="WO232" s="423"/>
      <c r="WP232" s="423"/>
      <c r="WQ232" s="423"/>
      <c r="WR232" s="423"/>
      <c r="WS232" s="423"/>
      <c r="WT232" s="423"/>
      <c r="WU232" s="423"/>
      <c r="WV232" s="423"/>
      <c r="WW232" s="423"/>
      <c r="WX232" s="423"/>
      <c r="WY232" s="423"/>
      <c r="WZ232" s="423"/>
      <c r="XA232" s="423"/>
      <c r="XB232" s="423"/>
      <c r="XC232" s="423"/>
      <c r="XD232" s="423"/>
      <c r="XE232" s="423"/>
      <c r="XF232" s="423"/>
      <c r="XG232" s="423"/>
      <c r="XH232" s="423"/>
      <c r="XI232" s="423"/>
      <c r="XJ232" s="423"/>
      <c r="XK232" s="423"/>
      <c r="XL232" s="423"/>
      <c r="XM232" s="423"/>
      <c r="XN232" s="423"/>
      <c r="XO232" s="423"/>
      <c r="XP232" s="423"/>
      <c r="XQ232" s="423"/>
      <c r="XR232" s="423"/>
      <c r="XS232" s="423"/>
      <c r="XT232" s="423"/>
      <c r="XU232" s="423"/>
      <c r="XV232" s="423"/>
      <c r="XW232" s="423"/>
      <c r="XX232" s="423"/>
      <c r="XY232" s="423"/>
      <c r="XZ232" s="423"/>
      <c r="YA232" s="423"/>
      <c r="YB232" s="423"/>
      <c r="YC232" s="423"/>
      <c r="YD232" s="423"/>
      <c r="YE232" s="423"/>
      <c r="YF232" s="423"/>
      <c r="YG232" s="423"/>
      <c r="YH232" s="423"/>
      <c r="YI232" s="423"/>
      <c r="YJ232" s="423"/>
      <c r="YK232" s="423"/>
      <c r="YL232" s="423"/>
      <c r="YM232" s="423"/>
      <c r="YN232" s="423"/>
      <c r="YO232" s="423"/>
      <c r="YP232" s="423"/>
      <c r="YQ232" s="423"/>
      <c r="YR232" s="423"/>
      <c r="YS232" s="423"/>
      <c r="YT232" s="423"/>
      <c r="YU232" s="423"/>
      <c r="YV232" s="423"/>
      <c r="YW232" s="423"/>
      <c r="YX232" s="423"/>
      <c r="YY232" s="423"/>
      <c r="YZ232" s="423"/>
      <c r="ZA232" s="423"/>
      <c r="ZB232" s="423"/>
      <c r="ZC232" s="423"/>
      <c r="ZD232" s="423"/>
      <c r="ZE232" s="423"/>
      <c r="ZF232" s="423"/>
      <c r="ZG232" s="423"/>
      <c r="ZH232" s="423"/>
      <c r="ZI232" s="423"/>
      <c r="ZJ232" s="423"/>
      <c r="ZK232" s="423"/>
      <c r="ZL232" s="423"/>
      <c r="ZM232" s="423"/>
      <c r="ZN232" s="423"/>
      <c r="ZO232" s="423"/>
      <c r="ZP232" s="423"/>
      <c r="ZQ232" s="423"/>
      <c r="ZR232" s="423"/>
      <c r="ZS232" s="423"/>
      <c r="ZT232" s="423"/>
      <c r="ZU232" s="423"/>
      <c r="ZV232" s="423"/>
      <c r="ZW232" s="423"/>
      <c r="ZX232" s="423"/>
      <c r="ZY232" s="423"/>
      <c r="ZZ232" s="423"/>
      <c r="AAA232" s="423"/>
      <c r="AAB232" s="423"/>
      <c r="AAC232" s="423"/>
      <c r="AAD232" s="423"/>
      <c r="AAE232" s="423"/>
      <c r="AAF232" s="423"/>
      <c r="AAG232" s="423"/>
      <c r="AAH232" s="423"/>
      <c r="AAI232" s="423"/>
      <c r="AAJ232" s="423"/>
      <c r="AAK232" s="423"/>
      <c r="AAL232" s="423"/>
      <c r="AAM232" s="423"/>
      <c r="AAN232" s="423"/>
      <c r="AAO232" s="423"/>
      <c r="AAP232" s="423"/>
      <c r="AAQ232" s="423"/>
      <c r="AAR232" s="423"/>
      <c r="AAS232" s="423"/>
      <c r="AAT232" s="423"/>
      <c r="AAU232" s="423"/>
      <c r="AAV232" s="423"/>
      <c r="AAW232" s="423"/>
      <c r="AAX232" s="423"/>
      <c r="AAY232" s="423"/>
      <c r="AAZ232" s="423"/>
      <c r="ABA232" s="423"/>
      <c r="ABB232" s="423"/>
      <c r="ABC232" s="423"/>
      <c r="ABD232" s="423"/>
      <c r="ABE232" s="423"/>
      <c r="ABF232" s="423"/>
      <c r="ABG232" s="423"/>
      <c r="ABH232" s="423"/>
      <c r="ABI232" s="423"/>
      <c r="ABJ232" s="423"/>
      <c r="ABK232" s="423"/>
      <c r="ABL232" s="423"/>
      <c r="ABM232" s="423"/>
      <c r="ABN232" s="423"/>
      <c r="ABO232" s="423"/>
      <c r="ABP232" s="423"/>
      <c r="ABQ232" s="423"/>
      <c r="ABR232" s="423"/>
      <c r="ABS232" s="423"/>
      <c r="ABT232" s="423"/>
      <c r="ABU232" s="423"/>
      <c r="ABV232" s="423"/>
      <c r="ABW232" s="423"/>
      <c r="ABX232" s="423"/>
      <c r="ABY232" s="423"/>
      <c r="ABZ232" s="423"/>
      <c r="ACA232" s="423"/>
      <c r="ACB232" s="423"/>
      <c r="ACC232" s="423"/>
      <c r="ACD232" s="423"/>
      <c r="ACE232" s="423"/>
      <c r="ACF232" s="423"/>
      <c r="ACG232" s="423"/>
      <c r="ACH232" s="423"/>
      <c r="ACI232" s="423"/>
      <c r="ACJ232" s="423"/>
      <c r="ACK232" s="423"/>
      <c r="ACL232" s="423"/>
      <c r="ACM232" s="423"/>
      <c r="ACN232" s="423"/>
      <c r="ACO232" s="423"/>
      <c r="ACP232" s="423"/>
      <c r="ACQ232" s="423"/>
      <c r="ACR232" s="423"/>
      <c r="ACS232" s="423"/>
      <c r="ACT232" s="423"/>
      <c r="ACU232" s="423"/>
      <c r="ACV232" s="423"/>
      <c r="ACW232" s="423"/>
      <c r="ACX232" s="423"/>
      <c r="ACY232" s="423"/>
      <c r="ACZ232" s="423"/>
      <c r="ADA232" s="423"/>
      <c r="ADB232" s="423"/>
      <c r="ADC232" s="423"/>
      <c r="ADD232" s="423"/>
      <c r="ADE232" s="423"/>
      <c r="ADF232" s="423"/>
      <c r="ADG232" s="423"/>
      <c r="ADH232" s="423"/>
      <c r="ADI232" s="423"/>
      <c r="ADJ232" s="423"/>
    </row>
    <row r="233" spans="1:790" s="464" customFormat="1" ht="13.8" x14ac:dyDescent="0.3">
      <c r="A233" s="611"/>
      <c r="B233" s="612" t="s">
        <v>136</v>
      </c>
      <c r="C233" s="613"/>
      <c r="D233" s="614"/>
      <c r="E233" s="614"/>
      <c r="F233" s="615"/>
      <c r="G233" s="615"/>
      <c r="H233" s="615"/>
      <c r="I233" s="616"/>
      <c r="J233" s="615"/>
      <c r="K233" s="617"/>
      <c r="L233" s="618"/>
      <c r="M233" s="619"/>
      <c r="N233" s="619"/>
      <c r="O233" s="620"/>
      <c r="P233" s="621"/>
      <c r="Q233" s="622"/>
      <c r="R233" s="481"/>
      <c r="S233" s="514"/>
      <c r="T233" s="515"/>
      <c r="U233" s="482"/>
      <c r="V233" s="514"/>
      <c r="W233" s="515"/>
      <c r="X233" s="517"/>
      <c r="Y233" s="517"/>
      <c r="Z233" s="423"/>
      <c r="AA233" s="423"/>
      <c r="AB233" s="423"/>
      <c r="AC233" s="423"/>
      <c r="AD233" s="423"/>
      <c r="AE233" s="423"/>
      <c r="AF233" s="423"/>
      <c r="AG233" s="423"/>
      <c r="AH233" s="423"/>
      <c r="AI233" s="423"/>
      <c r="AJ233" s="423"/>
      <c r="AK233" s="423"/>
      <c r="AL233" s="423"/>
      <c r="AM233" s="423"/>
      <c r="AN233" s="423"/>
      <c r="AO233" s="423"/>
      <c r="AP233" s="423"/>
      <c r="AQ233" s="423"/>
      <c r="AR233" s="423"/>
      <c r="AS233" s="423"/>
      <c r="AT233" s="423"/>
      <c r="AU233" s="423"/>
      <c r="AV233" s="423"/>
      <c r="AW233" s="423"/>
      <c r="AX233" s="423"/>
      <c r="AY233" s="423"/>
      <c r="AZ233" s="423"/>
      <c r="BA233" s="423"/>
      <c r="BB233" s="423"/>
      <c r="BC233" s="423"/>
      <c r="BD233" s="423"/>
      <c r="BE233" s="423"/>
      <c r="BF233" s="423"/>
      <c r="BG233" s="423"/>
      <c r="BH233" s="423"/>
      <c r="BI233" s="423"/>
      <c r="BJ233" s="423"/>
      <c r="BK233" s="423"/>
      <c r="BL233" s="423"/>
      <c r="BM233" s="423"/>
      <c r="BN233" s="423"/>
      <c r="BO233" s="423"/>
      <c r="BP233" s="423"/>
      <c r="BQ233" s="423"/>
      <c r="BR233" s="423"/>
      <c r="BS233" s="423"/>
      <c r="BT233" s="423"/>
      <c r="BU233" s="423"/>
      <c r="BV233" s="423"/>
      <c r="BW233" s="423"/>
      <c r="BX233" s="423"/>
      <c r="BY233" s="423"/>
      <c r="BZ233" s="423"/>
      <c r="CA233" s="423"/>
      <c r="CB233" s="423"/>
      <c r="CC233" s="423"/>
      <c r="CD233" s="423"/>
      <c r="CE233" s="423"/>
      <c r="CF233" s="423"/>
      <c r="CG233" s="423"/>
      <c r="CH233" s="423"/>
      <c r="CI233" s="423"/>
      <c r="CJ233" s="423"/>
      <c r="CK233" s="423"/>
      <c r="CL233" s="423"/>
      <c r="CM233" s="423"/>
      <c r="CN233" s="423"/>
      <c r="CO233" s="423"/>
      <c r="CP233" s="423"/>
      <c r="CQ233" s="423"/>
      <c r="CR233" s="423"/>
      <c r="CS233" s="423"/>
      <c r="CT233" s="423"/>
      <c r="CU233" s="423"/>
      <c r="CV233" s="423"/>
      <c r="CW233" s="423"/>
      <c r="CX233" s="423"/>
      <c r="CY233" s="423"/>
      <c r="CZ233" s="423"/>
      <c r="DA233" s="423"/>
      <c r="DB233" s="423"/>
      <c r="DC233" s="423"/>
      <c r="DD233" s="423"/>
      <c r="DE233" s="423"/>
      <c r="DF233" s="423"/>
      <c r="DG233" s="423"/>
      <c r="DH233" s="423"/>
      <c r="DI233" s="423"/>
      <c r="DJ233" s="423"/>
      <c r="DK233" s="423"/>
      <c r="DL233" s="423"/>
      <c r="DM233" s="423"/>
      <c r="DN233" s="423"/>
      <c r="DO233" s="423"/>
      <c r="DP233" s="423"/>
      <c r="DQ233" s="423"/>
      <c r="DR233" s="423"/>
      <c r="DS233" s="423"/>
      <c r="DT233" s="423"/>
      <c r="DU233" s="423"/>
      <c r="DV233" s="423"/>
      <c r="DW233" s="423"/>
      <c r="DX233" s="423"/>
      <c r="DY233" s="423"/>
      <c r="DZ233" s="423"/>
      <c r="EA233" s="423"/>
      <c r="EB233" s="423"/>
      <c r="EC233" s="423"/>
      <c r="ED233" s="423"/>
      <c r="EE233" s="423"/>
      <c r="EF233" s="423"/>
      <c r="EG233" s="423"/>
      <c r="EH233" s="423"/>
      <c r="EI233" s="423"/>
      <c r="EJ233" s="423"/>
      <c r="EK233" s="423"/>
      <c r="EL233" s="423"/>
      <c r="EM233" s="423"/>
      <c r="EN233" s="423"/>
      <c r="EO233" s="423"/>
      <c r="EP233" s="423"/>
      <c r="EQ233" s="423"/>
      <c r="ER233" s="423"/>
      <c r="ES233" s="423"/>
      <c r="ET233" s="423"/>
      <c r="EU233" s="423"/>
      <c r="EV233" s="423"/>
      <c r="EW233" s="423"/>
      <c r="EX233" s="423"/>
      <c r="EY233" s="423"/>
      <c r="EZ233" s="423"/>
      <c r="FA233" s="423"/>
      <c r="FB233" s="423"/>
      <c r="FC233" s="423"/>
      <c r="FD233" s="423"/>
      <c r="FE233" s="423"/>
      <c r="FF233" s="423"/>
      <c r="FG233" s="423"/>
      <c r="FH233" s="423"/>
      <c r="FI233" s="423"/>
      <c r="FJ233" s="423"/>
      <c r="FK233" s="423"/>
      <c r="FL233" s="423"/>
      <c r="FM233" s="423"/>
      <c r="FN233" s="423"/>
      <c r="FO233" s="423"/>
      <c r="FP233" s="423"/>
      <c r="FQ233" s="423"/>
      <c r="FR233" s="423"/>
      <c r="FS233" s="423"/>
      <c r="FT233" s="423"/>
      <c r="FU233" s="423"/>
      <c r="FV233" s="423"/>
      <c r="FW233" s="423"/>
      <c r="FX233" s="423"/>
      <c r="FY233" s="423"/>
      <c r="FZ233" s="423"/>
      <c r="GA233" s="423"/>
      <c r="GB233" s="423"/>
      <c r="GC233" s="423"/>
      <c r="GD233" s="423"/>
      <c r="GE233" s="423"/>
      <c r="GF233" s="423"/>
      <c r="GG233" s="423"/>
      <c r="GH233" s="423"/>
      <c r="GI233" s="423"/>
      <c r="GJ233" s="423"/>
      <c r="GK233" s="423"/>
      <c r="GL233" s="423"/>
      <c r="GM233" s="423"/>
      <c r="GN233" s="423"/>
      <c r="GO233" s="423"/>
      <c r="GP233" s="423"/>
      <c r="GQ233" s="423"/>
      <c r="GR233" s="423"/>
      <c r="GS233" s="423"/>
      <c r="GT233" s="423"/>
      <c r="GU233" s="423"/>
      <c r="GV233" s="423"/>
      <c r="GW233" s="423"/>
      <c r="GX233" s="423"/>
      <c r="GY233" s="423"/>
      <c r="GZ233" s="423"/>
      <c r="HA233" s="423"/>
      <c r="HB233" s="423"/>
      <c r="HC233" s="423"/>
      <c r="HD233" s="423"/>
      <c r="HE233" s="423"/>
      <c r="HF233" s="423"/>
      <c r="HG233" s="423"/>
      <c r="HH233" s="423"/>
      <c r="HI233" s="423"/>
      <c r="HJ233" s="423"/>
      <c r="HK233" s="423"/>
      <c r="HL233" s="423"/>
      <c r="HM233" s="423"/>
      <c r="HN233" s="423"/>
      <c r="HO233" s="423"/>
      <c r="HP233" s="423"/>
      <c r="HQ233" s="423"/>
      <c r="HR233" s="423"/>
      <c r="HS233" s="423"/>
      <c r="HT233" s="423"/>
      <c r="HU233" s="423"/>
      <c r="HV233" s="423"/>
      <c r="HW233" s="423"/>
      <c r="HX233" s="423"/>
      <c r="HY233" s="423"/>
      <c r="HZ233" s="423"/>
      <c r="IA233" s="423"/>
      <c r="IB233" s="423"/>
      <c r="IC233" s="423"/>
      <c r="ID233" s="423"/>
      <c r="IE233" s="423"/>
      <c r="IF233" s="423"/>
      <c r="IG233" s="423"/>
      <c r="IH233" s="423"/>
      <c r="II233" s="423"/>
      <c r="IJ233" s="423"/>
      <c r="IK233" s="423"/>
      <c r="IL233" s="423"/>
      <c r="IM233" s="423"/>
      <c r="IN233" s="423"/>
      <c r="IO233" s="423"/>
      <c r="IP233" s="423"/>
      <c r="IQ233" s="423"/>
      <c r="IR233" s="423"/>
      <c r="IS233" s="423"/>
      <c r="IT233" s="423"/>
      <c r="IU233" s="423"/>
      <c r="IV233" s="423"/>
      <c r="IW233" s="423"/>
      <c r="IX233" s="423"/>
      <c r="IY233" s="423"/>
      <c r="IZ233" s="423"/>
      <c r="JA233" s="423"/>
      <c r="JB233" s="423"/>
      <c r="JC233" s="423"/>
      <c r="JD233" s="423"/>
      <c r="JE233" s="423"/>
      <c r="JF233" s="423"/>
      <c r="JG233" s="423"/>
      <c r="JH233" s="423"/>
      <c r="JI233" s="423"/>
      <c r="JJ233" s="423"/>
      <c r="JK233" s="423"/>
      <c r="JL233" s="423"/>
      <c r="JM233" s="423"/>
      <c r="JN233" s="423"/>
      <c r="JO233" s="423"/>
      <c r="JP233" s="423"/>
      <c r="JQ233" s="423"/>
      <c r="JR233" s="423"/>
      <c r="JS233" s="423"/>
      <c r="JT233" s="423"/>
      <c r="JU233" s="423"/>
      <c r="JV233" s="423"/>
      <c r="JW233" s="423"/>
      <c r="JX233" s="423"/>
      <c r="JY233" s="423"/>
      <c r="JZ233" s="423"/>
      <c r="KA233" s="423"/>
      <c r="KB233" s="423"/>
      <c r="KC233" s="423"/>
      <c r="KD233" s="423"/>
      <c r="KE233" s="423"/>
      <c r="KF233" s="423"/>
      <c r="KG233" s="423"/>
      <c r="KH233" s="423"/>
      <c r="KI233" s="423"/>
      <c r="KJ233" s="423"/>
      <c r="KK233" s="423"/>
      <c r="KL233" s="423"/>
      <c r="KM233" s="423"/>
      <c r="KN233" s="423"/>
      <c r="KO233" s="423"/>
      <c r="KP233" s="423"/>
      <c r="KQ233" s="423"/>
      <c r="KR233" s="423"/>
      <c r="KS233" s="423"/>
      <c r="KT233" s="423"/>
      <c r="KU233" s="423"/>
      <c r="KV233" s="423"/>
      <c r="KW233" s="423"/>
      <c r="KX233" s="423"/>
      <c r="KY233" s="423"/>
      <c r="KZ233" s="423"/>
      <c r="LA233" s="423"/>
      <c r="LB233" s="423"/>
      <c r="LC233" s="423"/>
      <c r="LD233" s="423"/>
      <c r="LE233" s="423"/>
      <c r="LF233" s="423"/>
      <c r="LG233" s="423"/>
      <c r="LH233" s="423"/>
      <c r="LI233" s="423"/>
      <c r="LJ233" s="423"/>
      <c r="LK233" s="423"/>
      <c r="LL233" s="423"/>
      <c r="LM233" s="423"/>
      <c r="LN233" s="423"/>
      <c r="LO233" s="423"/>
      <c r="LP233" s="423"/>
      <c r="LQ233" s="423"/>
      <c r="LR233" s="423"/>
      <c r="LS233" s="423"/>
      <c r="LT233" s="423"/>
      <c r="LU233" s="423"/>
      <c r="LV233" s="423"/>
      <c r="LW233" s="423"/>
      <c r="LX233" s="423"/>
      <c r="LY233" s="423"/>
      <c r="LZ233" s="423"/>
      <c r="MA233" s="423"/>
      <c r="MB233" s="423"/>
      <c r="MC233" s="423"/>
      <c r="MD233" s="423"/>
      <c r="ME233" s="423"/>
      <c r="MF233" s="423"/>
      <c r="MG233" s="423"/>
      <c r="MH233" s="423"/>
      <c r="MI233" s="423"/>
      <c r="MJ233" s="423"/>
      <c r="MK233" s="423"/>
      <c r="ML233" s="423"/>
      <c r="MM233" s="423"/>
      <c r="MN233" s="423"/>
      <c r="MO233" s="423"/>
      <c r="MP233" s="423"/>
      <c r="MQ233" s="423"/>
      <c r="MR233" s="423"/>
      <c r="MS233" s="423"/>
      <c r="MT233" s="423"/>
      <c r="MU233" s="423"/>
      <c r="MV233" s="423"/>
      <c r="MW233" s="423"/>
      <c r="MX233" s="423"/>
      <c r="MY233" s="423"/>
      <c r="MZ233" s="423"/>
      <c r="NA233" s="423"/>
      <c r="NB233" s="423"/>
      <c r="NC233" s="423"/>
      <c r="ND233" s="423"/>
      <c r="NE233" s="423"/>
      <c r="NF233" s="423"/>
      <c r="NG233" s="423"/>
      <c r="NH233" s="423"/>
      <c r="NI233" s="423"/>
      <c r="NJ233" s="423"/>
      <c r="NK233" s="423"/>
      <c r="NL233" s="423"/>
      <c r="NM233" s="423"/>
      <c r="NN233" s="423"/>
      <c r="NO233" s="423"/>
      <c r="NP233" s="423"/>
      <c r="NQ233" s="423"/>
      <c r="NR233" s="423"/>
      <c r="NS233" s="423"/>
      <c r="NT233" s="423"/>
      <c r="NU233" s="423"/>
      <c r="NV233" s="423"/>
      <c r="NW233" s="423"/>
      <c r="NX233" s="423"/>
      <c r="NY233" s="423"/>
      <c r="NZ233" s="423"/>
      <c r="OA233" s="423"/>
      <c r="OB233" s="423"/>
      <c r="OC233" s="423"/>
      <c r="OD233" s="423"/>
      <c r="OE233" s="423"/>
      <c r="OF233" s="423"/>
      <c r="OG233" s="423"/>
      <c r="OH233" s="423"/>
      <c r="OI233" s="423"/>
      <c r="OJ233" s="423"/>
      <c r="OK233" s="423"/>
      <c r="OL233" s="423"/>
      <c r="OM233" s="423"/>
      <c r="ON233" s="423"/>
      <c r="OO233" s="423"/>
      <c r="OP233" s="423"/>
      <c r="OQ233" s="423"/>
      <c r="OR233" s="423"/>
      <c r="OS233" s="423"/>
      <c r="OT233" s="423"/>
      <c r="OU233" s="423"/>
      <c r="OV233" s="423"/>
      <c r="OW233" s="423"/>
      <c r="OX233" s="423"/>
      <c r="OY233" s="423"/>
      <c r="OZ233" s="423"/>
      <c r="PA233" s="423"/>
      <c r="PB233" s="423"/>
      <c r="PC233" s="423"/>
      <c r="PD233" s="423"/>
      <c r="PE233" s="423"/>
      <c r="PF233" s="423"/>
      <c r="PG233" s="423"/>
      <c r="PH233" s="423"/>
      <c r="PI233" s="423"/>
      <c r="PJ233" s="423"/>
      <c r="PK233" s="423"/>
      <c r="PL233" s="423"/>
      <c r="PM233" s="423"/>
      <c r="PN233" s="423"/>
      <c r="PO233" s="423"/>
      <c r="PP233" s="423"/>
      <c r="PQ233" s="423"/>
      <c r="PR233" s="423"/>
      <c r="PS233" s="423"/>
      <c r="PT233" s="423"/>
      <c r="PU233" s="423"/>
      <c r="PV233" s="423"/>
      <c r="PW233" s="423"/>
      <c r="PX233" s="423"/>
      <c r="PY233" s="423"/>
      <c r="PZ233" s="423"/>
      <c r="QA233" s="423"/>
      <c r="QB233" s="423"/>
      <c r="QC233" s="423"/>
      <c r="QD233" s="423"/>
      <c r="QE233" s="423"/>
      <c r="QF233" s="423"/>
      <c r="QG233" s="423"/>
      <c r="QH233" s="423"/>
      <c r="QI233" s="423"/>
      <c r="QJ233" s="423"/>
      <c r="QK233" s="423"/>
      <c r="QL233" s="423"/>
      <c r="QM233" s="423"/>
      <c r="QN233" s="423"/>
      <c r="QO233" s="423"/>
      <c r="QP233" s="423"/>
      <c r="QQ233" s="423"/>
      <c r="QR233" s="423"/>
      <c r="QS233" s="423"/>
      <c r="QT233" s="423"/>
      <c r="QU233" s="423"/>
      <c r="QV233" s="423"/>
      <c r="QW233" s="423"/>
      <c r="QX233" s="423"/>
      <c r="QY233" s="423"/>
      <c r="QZ233" s="423"/>
      <c r="RA233" s="423"/>
      <c r="RB233" s="423"/>
      <c r="RC233" s="423"/>
      <c r="RD233" s="423"/>
      <c r="RE233" s="423"/>
      <c r="RF233" s="423"/>
      <c r="RG233" s="423"/>
      <c r="RH233" s="423"/>
      <c r="RI233" s="423"/>
      <c r="RJ233" s="423"/>
      <c r="RK233" s="423"/>
      <c r="RL233" s="423"/>
      <c r="RM233" s="423"/>
      <c r="RN233" s="423"/>
      <c r="RO233" s="423"/>
      <c r="RP233" s="423"/>
      <c r="RQ233" s="423"/>
      <c r="RR233" s="423"/>
      <c r="RS233" s="423"/>
      <c r="RT233" s="423"/>
      <c r="RU233" s="423"/>
      <c r="RV233" s="423"/>
      <c r="RW233" s="423"/>
      <c r="RX233" s="423"/>
      <c r="RY233" s="423"/>
      <c r="RZ233" s="423"/>
      <c r="SA233" s="423"/>
      <c r="SB233" s="423"/>
      <c r="SC233" s="423"/>
      <c r="SD233" s="423"/>
      <c r="SE233" s="423"/>
      <c r="SF233" s="423"/>
      <c r="SG233" s="423"/>
      <c r="SH233" s="423"/>
      <c r="SI233" s="423"/>
      <c r="SJ233" s="423"/>
      <c r="SK233" s="423"/>
      <c r="SL233" s="423"/>
      <c r="SM233" s="423"/>
      <c r="SN233" s="423"/>
      <c r="SO233" s="423"/>
      <c r="SP233" s="423"/>
      <c r="SQ233" s="423"/>
      <c r="SR233" s="423"/>
      <c r="SS233" s="423"/>
      <c r="ST233" s="423"/>
      <c r="SU233" s="423"/>
      <c r="SV233" s="423"/>
      <c r="SW233" s="423"/>
      <c r="SX233" s="423"/>
      <c r="SY233" s="423"/>
      <c r="SZ233" s="423"/>
      <c r="TA233" s="423"/>
      <c r="TB233" s="423"/>
      <c r="TC233" s="423"/>
      <c r="TD233" s="423"/>
      <c r="TE233" s="423"/>
      <c r="TF233" s="423"/>
      <c r="TG233" s="423"/>
      <c r="TH233" s="423"/>
      <c r="TI233" s="423"/>
      <c r="TJ233" s="423"/>
      <c r="TK233" s="423"/>
      <c r="TL233" s="423"/>
      <c r="TM233" s="423"/>
      <c r="TN233" s="423"/>
      <c r="TO233" s="423"/>
      <c r="TP233" s="423"/>
      <c r="TQ233" s="423"/>
      <c r="TR233" s="423"/>
      <c r="TS233" s="423"/>
      <c r="TT233" s="423"/>
      <c r="TU233" s="423"/>
      <c r="TV233" s="423"/>
      <c r="TW233" s="423"/>
      <c r="TX233" s="423"/>
      <c r="TY233" s="423"/>
      <c r="TZ233" s="423"/>
      <c r="UA233" s="423"/>
      <c r="UB233" s="423"/>
      <c r="UC233" s="423"/>
      <c r="UD233" s="423"/>
      <c r="UE233" s="423"/>
      <c r="UF233" s="423"/>
      <c r="UG233" s="423"/>
      <c r="UH233" s="423"/>
      <c r="UI233" s="423"/>
      <c r="UJ233" s="423"/>
      <c r="UK233" s="423"/>
      <c r="UL233" s="423"/>
      <c r="UM233" s="423"/>
      <c r="UN233" s="423"/>
      <c r="UO233" s="423"/>
      <c r="UP233" s="423"/>
      <c r="UQ233" s="423"/>
      <c r="UR233" s="423"/>
      <c r="US233" s="423"/>
      <c r="UT233" s="423"/>
      <c r="UU233" s="423"/>
      <c r="UV233" s="423"/>
      <c r="UW233" s="423"/>
      <c r="UX233" s="423"/>
      <c r="UY233" s="423"/>
      <c r="UZ233" s="423"/>
      <c r="VA233" s="423"/>
      <c r="VB233" s="423"/>
      <c r="VC233" s="423"/>
      <c r="VD233" s="423"/>
      <c r="VE233" s="423"/>
      <c r="VF233" s="423"/>
      <c r="VG233" s="423"/>
      <c r="VH233" s="423"/>
      <c r="VI233" s="423"/>
      <c r="VJ233" s="423"/>
      <c r="VK233" s="423"/>
      <c r="VL233" s="423"/>
      <c r="VM233" s="423"/>
      <c r="VN233" s="423"/>
      <c r="VO233" s="423"/>
      <c r="VP233" s="423"/>
      <c r="VQ233" s="423"/>
      <c r="VR233" s="423"/>
      <c r="VS233" s="423"/>
      <c r="VT233" s="423"/>
      <c r="VU233" s="423"/>
      <c r="VV233" s="423"/>
      <c r="VW233" s="423"/>
      <c r="VX233" s="423"/>
      <c r="VY233" s="423"/>
      <c r="VZ233" s="423"/>
      <c r="WA233" s="423"/>
      <c r="WB233" s="423"/>
      <c r="WC233" s="423"/>
      <c r="WD233" s="423"/>
      <c r="WE233" s="423"/>
      <c r="WF233" s="423"/>
      <c r="WG233" s="423"/>
      <c r="WH233" s="423"/>
      <c r="WI233" s="423"/>
      <c r="WJ233" s="423"/>
      <c r="WK233" s="423"/>
      <c r="WL233" s="423"/>
      <c r="WM233" s="423"/>
      <c r="WN233" s="423"/>
      <c r="WO233" s="423"/>
      <c r="WP233" s="423"/>
      <c r="WQ233" s="423"/>
      <c r="WR233" s="423"/>
      <c r="WS233" s="423"/>
      <c r="WT233" s="423"/>
      <c r="WU233" s="423"/>
      <c r="WV233" s="423"/>
      <c r="WW233" s="423"/>
      <c r="WX233" s="423"/>
      <c r="WY233" s="423"/>
      <c r="WZ233" s="423"/>
      <c r="XA233" s="423"/>
      <c r="XB233" s="423"/>
      <c r="XC233" s="423"/>
      <c r="XD233" s="423"/>
      <c r="XE233" s="423"/>
      <c r="XF233" s="423"/>
      <c r="XG233" s="423"/>
      <c r="XH233" s="423"/>
      <c r="XI233" s="423"/>
      <c r="XJ233" s="423"/>
      <c r="XK233" s="423"/>
      <c r="XL233" s="423"/>
      <c r="XM233" s="423"/>
      <c r="XN233" s="423"/>
      <c r="XO233" s="423"/>
      <c r="XP233" s="423"/>
      <c r="XQ233" s="423"/>
      <c r="XR233" s="423"/>
      <c r="XS233" s="423"/>
      <c r="XT233" s="423"/>
      <c r="XU233" s="423"/>
      <c r="XV233" s="423"/>
      <c r="XW233" s="423"/>
      <c r="XX233" s="423"/>
      <c r="XY233" s="423"/>
      <c r="XZ233" s="423"/>
      <c r="YA233" s="423"/>
      <c r="YB233" s="423"/>
      <c r="YC233" s="423"/>
      <c r="YD233" s="423"/>
      <c r="YE233" s="423"/>
      <c r="YF233" s="423"/>
      <c r="YG233" s="423"/>
      <c r="YH233" s="423"/>
      <c r="YI233" s="423"/>
      <c r="YJ233" s="423"/>
      <c r="YK233" s="423"/>
      <c r="YL233" s="423"/>
      <c r="YM233" s="423"/>
      <c r="YN233" s="423"/>
      <c r="YO233" s="423"/>
      <c r="YP233" s="423"/>
      <c r="YQ233" s="423"/>
      <c r="YR233" s="423"/>
      <c r="YS233" s="423"/>
      <c r="YT233" s="423"/>
      <c r="YU233" s="423"/>
      <c r="YV233" s="423"/>
      <c r="YW233" s="423"/>
      <c r="YX233" s="423"/>
      <c r="YY233" s="423"/>
      <c r="YZ233" s="423"/>
      <c r="ZA233" s="423"/>
      <c r="ZB233" s="423"/>
      <c r="ZC233" s="423"/>
      <c r="ZD233" s="423"/>
      <c r="ZE233" s="423"/>
      <c r="ZF233" s="423"/>
      <c r="ZG233" s="423"/>
      <c r="ZH233" s="423"/>
      <c r="ZI233" s="423"/>
      <c r="ZJ233" s="423"/>
      <c r="ZK233" s="423"/>
      <c r="ZL233" s="423"/>
      <c r="ZM233" s="423"/>
      <c r="ZN233" s="423"/>
      <c r="ZO233" s="423"/>
      <c r="ZP233" s="423"/>
      <c r="ZQ233" s="423"/>
      <c r="ZR233" s="423"/>
      <c r="ZS233" s="423"/>
      <c r="ZT233" s="423"/>
      <c r="ZU233" s="423"/>
      <c r="ZV233" s="423"/>
      <c r="ZW233" s="423"/>
      <c r="ZX233" s="423"/>
      <c r="ZY233" s="423"/>
      <c r="ZZ233" s="423"/>
      <c r="AAA233" s="423"/>
      <c r="AAB233" s="423"/>
      <c r="AAC233" s="423"/>
      <c r="AAD233" s="423"/>
      <c r="AAE233" s="423"/>
      <c r="AAF233" s="423"/>
      <c r="AAG233" s="423"/>
      <c r="AAH233" s="423"/>
      <c r="AAI233" s="423"/>
      <c r="AAJ233" s="423"/>
      <c r="AAK233" s="423"/>
      <c r="AAL233" s="423"/>
      <c r="AAM233" s="423"/>
      <c r="AAN233" s="423"/>
      <c r="AAO233" s="423"/>
      <c r="AAP233" s="423"/>
      <c r="AAQ233" s="423"/>
      <c r="AAR233" s="423"/>
      <c r="AAS233" s="423"/>
      <c r="AAT233" s="423"/>
      <c r="AAU233" s="423"/>
      <c r="AAV233" s="423"/>
      <c r="AAW233" s="423"/>
      <c r="AAX233" s="423"/>
      <c r="AAY233" s="423"/>
      <c r="AAZ233" s="423"/>
      <c r="ABA233" s="423"/>
      <c r="ABB233" s="423"/>
      <c r="ABC233" s="423"/>
      <c r="ABD233" s="423"/>
      <c r="ABE233" s="423"/>
      <c r="ABF233" s="423"/>
      <c r="ABG233" s="423"/>
      <c r="ABH233" s="423"/>
      <c r="ABI233" s="423"/>
      <c r="ABJ233" s="423"/>
      <c r="ABK233" s="423"/>
      <c r="ABL233" s="423"/>
      <c r="ABM233" s="423"/>
      <c r="ABN233" s="423"/>
      <c r="ABO233" s="423"/>
      <c r="ABP233" s="423"/>
      <c r="ABQ233" s="423"/>
      <c r="ABR233" s="423"/>
      <c r="ABS233" s="423"/>
      <c r="ABT233" s="423"/>
      <c r="ABU233" s="423"/>
      <c r="ABV233" s="423"/>
      <c r="ABW233" s="423"/>
      <c r="ABX233" s="423"/>
      <c r="ABY233" s="423"/>
      <c r="ABZ233" s="423"/>
      <c r="ACA233" s="423"/>
      <c r="ACB233" s="423"/>
      <c r="ACC233" s="423"/>
      <c r="ACD233" s="423"/>
      <c r="ACE233" s="423"/>
      <c r="ACF233" s="423"/>
      <c r="ACG233" s="423"/>
      <c r="ACH233" s="423"/>
      <c r="ACI233" s="423"/>
      <c r="ACJ233" s="423"/>
      <c r="ACK233" s="423"/>
      <c r="ACL233" s="423"/>
      <c r="ACM233" s="423"/>
      <c r="ACN233" s="423"/>
      <c r="ACO233" s="423"/>
      <c r="ACP233" s="423"/>
      <c r="ACQ233" s="423"/>
      <c r="ACR233" s="423"/>
      <c r="ACS233" s="423"/>
      <c r="ACT233" s="423"/>
      <c r="ACU233" s="423"/>
      <c r="ACV233" s="423"/>
      <c r="ACW233" s="423"/>
      <c r="ACX233" s="423"/>
      <c r="ACY233" s="423"/>
      <c r="ACZ233" s="423"/>
      <c r="ADA233" s="423"/>
      <c r="ADB233" s="423"/>
      <c r="ADC233" s="423"/>
      <c r="ADD233" s="423"/>
      <c r="ADE233" s="423"/>
      <c r="ADF233" s="423"/>
      <c r="ADG233" s="423"/>
      <c r="ADH233" s="423"/>
      <c r="ADI233" s="423"/>
      <c r="ADJ233" s="423"/>
    </row>
    <row r="234" spans="1:790" s="423" customFormat="1" ht="13.8" x14ac:dyDescent="0.3">
      <c r="A234" s="611"/>
      <c r="B234" s="623" t="s">
        <v>137</v>
      </c>
      <c r="C234" s="624">
        <v>1272.71</v>
      </c>
      <c r="D234" s="625"/>
      <c r="E234" s="625"/>
      <c r="F234" s="626"/>
      <c r="G234" s="626"/>
      <c r="H234" s="362">
        <f>+PRODUCT(C234:G234)</f>
        <v>1272.71</v>
      </c>
      <c r="I234" s="624" t="s">
        <v>22</v>
      </c>
      <c r="J234" s="626">
        <f>H234</f>
        <v>1272.71</v>
      </c>
      <c r="K234" s="627"/>
      <c r="L234" s="618"/>
      <c r="M234" s="619"/>
      <c r="N234" s="619"/>
      <c r="O234" s="620"/>
      <c r="P234" s="621"/>
      <c r="Q234" s="622"/>
      <c r="R234" s="481"/>
      <c r="S234" s="514"/>
      <c r="T234" s="515"/>
      <c r="U234" s="482"/>
      <c r="V234" s="514"/>
      <c r="W234" s="515"/>
      <c r="X234" s="517"/>
      <c r="Y234" s="517"/>
    </row>
    <row r="235" spans="1:790" s="423" customFormat="1" ht="13.8" x14ac:dyDescent="0.3">
      <c r="A235" s="611"/>
      <c r="B235" s="623" t="s">
        <v>138</v>
      </c>
      <c r="C235" s="624">
        <v>535.80999999999995</v>
      </c>
      <c r="D235" s="625"/>
      <c r="E235" s="625"/>
      <c r="F235" s="626"/>
      <c r="G235" s="626"/>
      <c r="H235" s="362">
        <f>+PRODUCT(C235:G235)</f>
        <v>535.80999999999995</v>
      </c>
      <c r="I235" s="624" t="s">
        <v>22</v>
      </c>
      <c r="J235" s="626">
        <f>H235</f>
        <v>535.80999999999995</v>
      </c>
      <c r="K235" s="627"/>
      <c r="L235" s="618"/>
      <c r="M235" s="619"/>
      <c r="N235" s="619"/>
      <c r="O235" s="620"/>
      <c r="P235" s="621"/>
      <c r="Q235" s="673"/>
      <c r="R235" s="481"/>
      <c r="S235" s="514"/>
      <c r="T235" s="515"/>
      <c r="U235" s="482"/>
      <c r="V235" s="514"/>
      <c r="W235" s="515"/>
      <c r="X235" s="517"/>
      <c r="Y235" s="517"/>
    </row>
    <row r="236" spans="1:790" s="464" customFormat="1" x14ac:dyDescent="0.3">
      <c r="A236" s="653"/>
      <c r="B236" s="654"/>
      <c r="C236" s="655"/>
      <c r="D236" s="656"/>
      <c r="E236" s="657"/>
      <c r="F236" s="658"/>
      <c r="G236" s="658"/>
      <c r="H236" s="658"/>
      <c r="I236" s="659" t="s">
        <v>22</v>
      </c>
      <c r="J236" s="660">
        <f>SUM(J234:J235)</f>
        <v>1808.52</v>
      </c>
      <c r="K236" s="661">
        <v>11</v>
      </c>
      <c r="L236" s="662">
        <f>J236*K236</f>
        <v>19893.72</v>
      </c>
      <c r="M236" s="490">
        <f t="shared" ref="M236" si="242">K236*(100%-16.5%)</f>
        <v>9.1849999999999987</v>
      </c>
      <c r="N236" s="490">
        <f t="shared" ref="N236" si="243">IF(M236&gt;0,M236*J236,"")</f>
        <v>16611.256199999996</v>
      </c>
      <c r="O236" s="620"/>
      <c r="P236" s="621"/>
      <c r="Q236" s="674"/>
      <c r="R236" s="481">
        <f t="shared" ref="R236" si="244">IF(N236&gt;0,J236,"")</f>
        <v>1808.52</v>
      </c>
      <c r="S236" s="514">
        <f>[2]CM!$M$160</f>
        <v>8</v>
      </c>
      <c r="T236" s="515">
        <f t="shared" ref="T236" si="245">IF(S236&gt;0,S236*R236,"")</f>
        <v>14468.16</v>
      </c>
      <c r="U236" s="482">
        <f t="shared" ref="U236" si="246">IF(R236&gt;0,R236,"")</f>
        <v>1808.52</v>
      </c>
      <c r="V236" s="526">
        <f>V212</f>
        <v>0</v>
      </c>
      <c r="W236" s="515" t="str">
        <f t="shared" ref="W236" si="247">IF(V236&gt;0,V236*U236,"")</f>
        <v/>
      </c>
      <c r="X236" s="507">
        <f t="shared" ref="X236" si="248">V236+S236</f>
        <v>8</v>
      </c>
      <c r="Y236" s="520">
        <f t="shared" ref="Y236" si="249">M236-X236</f>
        <v>1.1849999999999987</v>
      </c>
      <c r="Z236" s="521">
        <f t="shared" ref="Z236" si="250">Y236/M236</f>
        <v>0.1290146978769732</v>
      </c>
      <c r="AA236" s="423"/>
      <c r="AB236" s="423"/>
      <c r="AC236" s="423"/>
      <c r="AD236" s="423"/>
      <c r="AE236" s="423"/>
      <c r="AF236" s="423"/>
      <c r="AG236" s="423"/>
      <c r="AH236" s="423"/>
      <c r="AI236" s="423"/>
      <c r="AJ236" s="423"/>
      <c r="AK236" s="423"/>
      <c r="AL236" s="423"/>
      <c r="AM236" s="423"/>
      <c r="AN236" s="423"/>
      <c r="AO236" s="423"/>
      <c r="AP236" s="423"/>
      <c r="AQ236" s="423"/>
      <c r="AR236" s="423"/>
      <c r="AS236" s="423"/>
      <c r="AT236" s="423"/>
      <c r="AU236" s="423"/>
      <c r="AV236" s="423"/>
      <c r="AW236" s="423"/>
      <c r="AX236" s="423"/>
      <c r="AY236" s="423"/>
      <c r="AZ236" s="423"/>
      <c r="BA236" s="423"/>
      <c r="BB236" s="423"/>
      <c r="BC236" s="423"/>
      <c r="BD236" s="423"/>
      <c r="BE236" s="423"/>
      <c r="BF236" s="423"/>
      <c r="BG236" s="423"/>
      <c r="BH236" s="423"/>
      <c r="BI236" s="423"/>
      <c r="BJ236" s="423"/>
      <c r="BK236" s="423"/>
      <c r="BL236" s="423"/>
      <c r="BM236" s="423"/>
      <c r="BN236" s="423"/>
      <c r="BO236" s="423"/>
      <c r="BP236" s="423"/>
      <c r="BQ236" s="423"/>
      <c r="BR236" s="423"/>
      <c r="BS236" s="423"/>
      <c r="BT236" s="423"/>
      <c r="BU236" s="423"/>
      <c r="BV236" s="423"/>
      <c r="BW236" s="423"/>
      <c r="BX236" s="423"/>
      <c r="BY236" s="423"/>
      <c r="BZ236" s="423"/>
      <c r="CA236" s="423"/>
      <c r="CB236" s="423"/>
      <c r="CC236" s="423"/>
      <c r="CD236" s="423"/>
      <c r="CE236" s="423"/>
      <c r="CF236" s="423"/>
      <c r="CG236" s="423"/>
      <c r="CH236" s="423"/>
      <c r="CI236" s="423"/>
      <c r="CJ236" s="423"/>
      <c r="CK236" s="423"/>
      <c r="CL236" s="423"/>
      <c r="CM236" s="423"/>
      <c r="CN236" s="423"/>
      <c r="CO236" s="423"/>
      <c r="CP236" s="423"/>
      <c r="CQ236" s="423"/>
      <c r="CR236" s="423"/>
      <c r="CS236" s="423"/>
      <c r="CT236" s="423"/>
      <c r="CU236" s="423"/>
      <c r="CV236" s="423"/>
      <c r="CW236" s="423"/>
      <c r="CX236" s="423"/>
      <c r="CY236" s="423"/>
      <c r="CZ236" s="423"/>
      <c r="DA236" s="423"/>
      <c r="DB236" s="423"/>
      <c r="DC236" s="423"/>
      <c r="DD236" s="423"/>
      <c r="DE236" s="423"/>
      <c r="DF236" s="423"/>
      <c r="DG236" s="423"/>
      <c r="DH236" s="423"/>
      <c r="DI236" s="423"/>
      <c r="DJ236" s="423"/>
      <c r="DK236" s="423"/>
      <c r="DL236" s="423"/>
      <c r="DM236" s="423"/>
      <c r="DN236" s="423"/>
      <c r="DO236" s="423"/>
      <c r="DP236" s="423"/>
      <c r="DQ236" s="423"/>
      <c r="DR236" s="423"/>
      <c r="DS236" s="423"/>
      <c r="DT236" s="423"/>
      <c r="DU236" s="423"/>
      <c r="DV236" s="423"/>
      <c r="DW236" s="423"/>
      <c r="DX236" s="423"/>
      <c r="DY236" s="423"/>
      <c r="DZ236" s="423"/>
      <c r="EA236" s="423"/>
      <c r="EB236" s="423"/>
      <c r="EC236" s="423"/>
      <c r="ED236" s="423"/>
      <c r="EE236" s="423"/>
      <c r="EF236" s="423"/>
      <c r="EG236" s="423"/>
      <c r="EH236" s="423"/>
      <c r="EI236" s="423"/>
      <c r="EJ236" s="423"/>
      <c r="EK236" s="423"/>
      <c r="EL236" s="423"/>
      <c r="EM236" s="423"/>
      <c r="EN236" s="423"/>
      <c r="EO236" s="423"/>
      <c r="EP236" s="423"/>
      <c r="EQ236" s="423"/>
      <c r="ER236" s="423"/>
      <c r="ES236" s="423"/>
      <c r="ET236" s="423"/>
      <c r="EU236" s="423"/>
      <c r="EV236" s="423"/>
      <c r="EW236" s="423"/>
      <c r="EX236" s="423"/>
      <c r="EY236" s="423"/>
      <c r="EZ236" s="423"/>
      <c r="FA236" s="423"/>
      <c r="FB236" s="423"/>
      <c r="FC236" s="423"/>
      <c r="FD236" s="423"/>
      <c r="FE236" s="423"/>
      <c r="FF236" s="423"/>
      <c r="FG236" s="423"/>
      <c r="FH236" s="423"/>
      <c r="FI236" s="423"/>
      <c r="FJ236" s="423"/>
      <c r="FK236" s="423"/>
      <c r="FL236" s="423"/>
      <c r="FM236" s="423"/>
      <c r="FN236" s="423"/>
      <c r="FO236" s="423"/>
      <c r="FP236" s="423"/>
      <c r="FQ236" s="423"/>
      <c r="FR236" s="423"/>
      <c r="FS236" s="423"/>
      <c r="FT236" s="423"/>
      <c r="FU236" s="423"/>
      <c r="FV236" s="423"/>
      <c r="FW236" s="423"/>
      <c r="FX236" s="423"/>
      <c r="FY236" s="423"/>
      <c r="FZ236" s="423"/>
      <c r="GA236" s="423"/>
      <c r="GB236" s="423"/>
      <c r="GC236" s="423"/>
      <c r="GD236" s="423"/>
      <c r="GE236" s="423"/>
      <c r="GF236" s="423"/>
      <c r="GG236" s="423"/>
      <c r="GH236" s="423"/>
      <c r="GI236" s="423"/>
      <c r="GJ236" s="423"/>
      <c r="GK236" s="423"/>
      <c r="GL236" s="423"/>
      <c r="GM236" s="423"/>
      <c r="GN236" s="423"/>
      <c r="GO236" s="423"/>
      <c r="GP236" s="423"/>
      <c r="GQ236" s="423"/>
      <c r="GR236" s="423"/>
      <c r="GS236" s="423"/>
      <c r="GT236" s="423"/>
      <c r="GU236" s="423"/>
      <c r="GV236" s="423"/>
      <c r="GW236" s="423"/>
      <c r="GX236" s="423"/>
      <c r="GY236" s="423"/>
      <c r="GZ236" s="423"/>
      <c r="HA236" s="423"/>
      <c r="HB236" s="423"/>
      <c r="HC236" s="423"/>
      <c r="HD236" s="423"/>
      <c r="HE236" s="423"/>
      <c r="HF236" s="423"/>
      <c r="HG236" s="423"/>
      <c r="HH236" s="423"/>
      <c r="HI236" s="423"/>
      <c r="HJ236" s="423"/>
      <c r="HK236" s="423"/>
      <c r="HL236" s="423"/>
      <c r="HM236" s="423"/>
      <c r="HN236" s="423"/>
      <c r="HO236" s="423"/>
      <c r="HP236" s="423"/>
      <c r="HQ236" s="423"/>
      <c r="HR236" s="423"/>
      <c r="HS236" s="423"/>
      <c r="HT236" s="423"/>
      <c r="HU236" s="423"/>
      <c r="HV236" s="423"/>
      <c r="HW236" s="423"/>
      <c r="HX236" s="423"/>
      <c r="HY236" s="423"/>
      <c r="HZ236" s="423"/>
      <c r="IA236" s="423"/>
      <c r="IB236" s="423"/>
      <c r="IC236" s="423"/>
      <c r="ID236" s="423"/>
      <c r="IE236" s="423"/>
      <c r="IF236" s="423"/>
      <c r="IG236" s="423"/>
      <c r="IH236" s="423"/>
      <c r="II236" s="423"/>
      <c r="IJ236" s="423"/>
      <c r="IK236" s="423"/>
      <c r="IL236" s="423"/>
      <c r="IM236" s="423"/>
      <c r="IN236" s="423"/>
      <c r="IO236" s="423"/>
      <c r="IP236" s="423"/>
      <c r="IQ236" s="423"/>
      <c r="IR236" s="423"/>
      <c r="IS236" s="423"/>
      <c r="IT236" s="423"/>
      <c r="IU236" s="423"/>
      <c r="IV236" s="423"/>
      <c r="IW236" s="423"/>
      <c r="IX236" s="423"/>
      <c r="IY236" s="423"/>
      <c r="IZ236" s="423"/>
      <c r="JA236" s="423"/>
      <c r="JB236" s="423"/>
      <c r="JC236" s="423"/>
      <c r="JD236" s="423"/>
      <c r="JE236" s="423"/>
      <c r="JF236" s="423"/>
      <c r="JG236" s="423"/>
      <c r="JH236" s="423"/>
      <c r="JI236" s="423"/>
      <c r="JJ236" s="423"/>
      <c r="JK236" s="423"/>
      <c r="JL236" s="423"/>
      <c r="JM236" s="423"/>
      <c r="JN236" s="423"/>
      <c r="JO236" s="423"/>
      <c r="JP236" s="423"/>
      <c r="JQ236" s="423"/>
      <c r="JR236" s="423"/>
      <c r="JS236" s="423"/>
      <c r="JT236" s="423"/>
      <c r="JU236" s="423"/>
      <c r="JV236" s="423"/>
      <c r="JW236" s="423"/>
      <c r="JX236" s="423"/>
      <c r="JY236" s="423"/>
      <c r="JZ236" s="423"/>
      <c r="KA236" s="423"/>
      <c r="KB236" s="423"/>
      <c r="KC236" s="423"/>
      <c r="KD236" s="423"/>
      <c r="KE236" s="423"/>
      <c r="KF236" s="423"/>
      <c r="KG236" s="423"/>
      <c r="KH236" s="423"/>
      <c r="KI236" s="423"/>
      <c r="KJ236" s="423"/>
      <c r="KK236" s="423"/>
      <c r="KL236" s="423"/>
      <c r="KM236" s="423"/>
      <c r="KN236" s="423"/>
      <c r="KO236" s="423"/>
      <c r="KP236" s="423"/>
      <c r="KQ236" s="423"/>
      <c r="KR236" s="423"/>
      <c r="KS236" s="423"/>
      <c r="KT236" s="423"/>
      <c r="KU236" s="423"/>
      <c r="KV236" s="423"/>
      <c r="KW236" s="423"/>
      <c r="KX236" s="423"/>
      <c r="KY236" s="423"/>
      <c r="KZ236" s="423"/>
      <c r="LA236" s="423"/>
      <c r="LB236" s="423"/>
      <c r="LC236" s="423"/>
      <c r="LD236" s="423"/>
      <c r="LE236" s="423"/>
      <c r="LF236" s="423"/>
      <c r="LG236" s="423"/>
      <c r="LH236" s="423"/>
      <c r="LI236" s="423"/>
      <c r="LJ236" s="423"/>
      <c r="LK236" s="423"/>
      <c r="LL236" s="423"/>
      <c r="LM236" s="423"/>
      <c r="LN236" s="423"/>
      <c r="LO236" s="423"/>
      <c r="LP236" s="423"/>
      <c r="LQ236" s="423"/>
      <c r="LR236" s="423"/>
      <c r="LS236" s="423"/>
      <c r="LT236" s="423"/>
      <c r="LU236" s="423"/>
      <c r="LV236" s="423"/>
      <c r="LW236" s="423"/>
      <c r="LX236" s="423"/>
      <c r="LY236" s="423"/>
      <c r="LZ236" s="423"/>
      <c r="MA236" s="423"/>
      <c r="MB236" s="423"/>
      <c r="MC236" s="423"/>
      <c r="MD236" s="423"/>
      <c r="ME236" s="423"/>
      <c r="MF236" s="423"/>
      <c r="MG236" s="423"/>
      <c r="MH236" s="423"/>
      <c r="MI236" s="423"/>
      <c r="MJ236" s="423"/>
      <c r="MK236" s="423"/>
      <c r="ML236" s="423"/>
      <c r="MM236" s="423"/>
      <c r="MN236" s="423"/>
      <c r="MO236" s="423"/>
      <c r="MP236" s="423"/>
      <c r="MQ236" s="423"/>
      <c r="MR236" s="423"/>
      <c r="MS236" s="423"/>
      <c r="MT236" s="423"/>
      <c r="MU236" s="423"/>
      <c r="MV236" s="423"/>
      <c r="MW236" s="423"/>
      <c r="MX236" s="423"/>
      <c r="MY236" s="423"/>
      <c r="MZ236" s="423"/>
      <c r="NA236" s="423"/>
      <c r="NB236" s="423"/>
      <c r="NC236" s="423"/>
      <c r="ND236" s="423"/>
      <c r="NE236" s="423"/>
      <c r="NF236" s="423"/>
      <c r="NG236" s="423"/>
      <c r="NH236" s="423"/>
      <c r="NI236" s="423"/>
      <c r="NJ236" s="423"/>
      <c r="NK236" s="423"/>
      <c r="NL236" s="423"/>
      <c r="NM236" s="423"/>
      <c r="NN236" s="423"/>
      <c r="NO236" s="423"/>
      <c r="NP236" s="423"/>
      <c r="NQ236" s="423"/>
      <c r="NR236" s="423"/>
      <c r="NS236" s="423"/>
      <c r="NT236" s="423"/>
      <c r="NU236" s="423"/>
      <c r="NV236" s="423"/>
      <c r="NW236" s="423"/>
      <c r="NX236" s="423"/>
      <c r="NY236" s="423"/>
      <c r="NZ236" s="423"/>
      <c r="OA236" s="423"/>
      <c r="OB236" s="423"/>
      <c r="OC236" s="423"/>
      <c r="OD236" s="423"/>
      <c r="OE236" s="423"/>
      <c r="OF236" s="423"/>
      <c r="OG236" s="423"/>
      <c r="OH236" s="423"/>
      <c r="OI236" s="423"/>
      <c r="OJ236" s="423"/>
      <c r="OK236" s="423"/>
      <c r="OL236" s="423"/>
      <c r="OM236" s="423"/>
      <c r="ON236" s="423"/>
      <c r="OO236" s="423"/>
      <c r="OP236" s="423"/>
      <c r="OQ236" s="423"/>
      <c r="OR236" s="423"/>
      <c r="OS236" s="423"/>
      <c r="OT236" s="423"/>
      <c r="OU236" s="423"/>
      <c r="OV236" s="423"/>
      <c r="OW236" s="423"/>
      <c r="OX236" s="423"/>
      <c r="OY236" s="423"/>
      <c r="OZ236" s="423"/>
      <c r="PA236" s="423"/>
      <c r="PB236" s="423"/>
      <c r="PC236" s="423"/>
      <c r="PD236" s="423"/>
      <c r="PE236" s="423"/>
      <c r="PF236" s="423"/>
      <c r="PG236" s="423"/>
      <c r="PH236" s="423"/>
      <c r="PI236" s="423"/>
      <c r="PJ236" s="423"/>
      <c r="PK236" s="423"/>
      <c r="PL236" s="423"/>
      <c r="PM236" s="423"/>
      <c r="PN236" s="423"/>
      <c r="PO236" s="423"/>
      <c r="PP236" s="423"/>
      <c r="PQ236" s="423"/>
      <c r="PR236" s="423"/>
      <c r="PS236" s="423"/>
      <c r="PT236" s="423"/>
      <c r="PU236" s="423"/>
      <c r="PV236" s="423"/>
      <c r="PW236" s="423"/>
      <c r="PX236" s="423"/>
      <c r="PY236" s="423"/>
      <c r="PZ236" s="423"/>
      <c r="QA236" s="423"/>
      <c r="QB236" s="423"/>
      <c r="QC236" s="423"/>
      <c r="QD236" s="423"/>
      <c r="QE236" s="423"/>
      <c r="QF236" s="423"/>
      <c r="QG236" s="423"/>
      <c r="QH236" s="423"/>
      <c r="QI236" s="423"/>
      <c r="QJ236" s="423"/>
      <c r="QK236" s="423"/>
      <c r="QL236" s="423"/>
      <c r="QM236" s="423"/>
      <c r="QN236" s="423"/>
      <c r="QO236" s="423"/>
      <c r="QP236" s="423"/>
      <c r="QQ236" s="423"/>
      <c r="QR236" s="423"/>
      <c r="QS236" s="423"/>
      <c r="QT236" s="423"/>
      <c r="QU236" s="423"/>
      <c r="QV236" s="423"/>
      <c r="QW236" s="423"/>
      <c r="QX236" s="423"/>
      <c r="QY236" s="423"/>
      <c r="QZ236" s="423"/>
      <c r="RA236" s="423"/>
      <c r="RB236" s="423"/>
      <c r="RC236" s="423"/>
      <c r="RD236" s="423"/>
      <c r="RE236" s="423"/>
      <c r="RF236" s="423"/>
      <c r="RG236" s="423"/>
      <c r="RH236" s="423"/>
      <c r="RI236" s="423"/>
      <c r="RJ236" s="423"/>
      <c r="RK236" s="423"/>
      <c r="RL236" s="423"/>
      <c r="RM236" s="423"/>
      <c r="RN236" s="423"/>
      <c r="RO236" s="423"/>
      <c r="RP236" s="423"/>
      <c r="RQ236" s="423"/>
      <c r="RR236" s="423"/>
      <c r="RS236" s="423"/>
      <c r="RT236" s="423"/>
      <c r="RU236" s="423"/>
      <c r="RV236" s="423"/>
      <c r="RW236" s="423"/>
      <c r="RX236" s="423"/>
      <c r="RY236" s="423"/>
      <c r="RZ236" s="423"/>
      <c r="SA236" s="423"/>
      <c r="SB236" s="423"/>
      <c r="SC236" s="423"/>
      <c r="SD236" s="423"/>
      <c r="SE236" s="423"/>
      <c r="SF236" s="423"/>
      <c r="SG236" s="423"/>
      <c r="SH236" s="423"/>
      <c r="SI236" s="423"/>
      <c r="SJ236" s="423"/>
      <c r="SK236" s="423"/>
      <c r="SL236" s="423"/>
      <c r="SM236" s="423"/>
      <c r="SN236" s="423"/>
      <c r="SO236" s="423"/>
      <c r="SP236" s="423"/>
      <c r="SQ236" s="423"/>
      <c r="SR236" s="423"/>
      <c r="SS236" s="423"/>
      <c r="ST236" s="423"/>
      <c r="SU236" s="423"/>
      <c r="SV236" s="423"/>
      <c r="SW236" s="423"/>
      <c r="SX236" s="423"/>
      <c r="SY236" s="423"/>
      <c r="SZ236" s="423"/>
      <c r="TA236" s="423"/>
      <c r="TB236" s="423"/>
      <c r="TC236" s="423"/>
      <c r="TD236" s="423"/>
      <c r="TE236" s="423"/>
      <c r="TF236" s="423"/>
      <c r="TG236" s="423"/>
      <c r="TH236" s="423"/>
      <c r="TI236" s="423"/>
      <c r="TJ236" s="423"/>
      <c r="TK236" s="423"/>
      <c r="TL236" s="423"/>
      <c r="TM236" s="423"/>
      <c r="TN236" s="423"/>
      <c r="TO236" s="423"/>
      <c r="TP236" s="423"/>
      <c r="TQ236" s="423"/>
      <c r="TR236" s="423"/>
      <c r="TS236" s="423"/>
      <c r="TT236" s="423"/>
      <c r="TU236" s="423"/>
      <c r="TV236" s="423"/>
      <c r="TW236" s="423"/>
      <c r="TX236" s="423"/>
      <c r="TY236" s="423"/>
      <c r="TZ236" s="423"/>
      <c r="UA236" s="423"/>
      <c r="UB236" s="423"/>
      <c r="UC236" s="423"/>
      <c r="UD236" s="423"/>
      <c r="UE236" s="423"/>
      <c r="UF236" s="423"/>
      <c r="UG236" s="423"/>
      <c r="UH236" s="423"/>
      <c r="UI236" s="423"/>
      <c r="UJ236" s="423"/>
      <c r="UK236" s="423"/>
      <c r="UL236" s="423"/>
      <c r="UM236" s="423"/>
      <c r="UN236" s="423"/>
      <c r="UO236" s="423"/>
      <c r="UP236" s="423"/>
      <c r="UQ236" s="423"/>
      <c r="UR236" s="423"/>
      <c r="US236" s="423"/>
      <c r="UT236" s="423"/>
      <c r="UU236" s="423"/>
      <c r="UV236" s="423"/>
      <c r="UW236" s="423"/>
      <c r="UX236" s="423"/>
      <c r="UY236" s="423"/>
      <c r="UZ236" s="423"/>
      <c r="VA236" s="423"/>
      <c r="VB236" s="423"/>
      <c r="VC236" s="423"/>
      <c r="VD236" s="423"/>
      <c r="VE236" s="423"/>
      <c r="VF236" s="423"/>
      <c r="VG236" s="423"/>
      <c r="VH236" s="423"/>
      <c r="VI236" s="423"/>
      <c r="VJ236" s="423"/>
      <c r="VK236" s="423"/>
      <c r="VL236" s="423"/>
      <c r="VM236" s="423"/>
      <c r="VN236" s="423"/>
      <c r="VO236" s="423"/>
      <c r="VP236" s="423"/>
      <c r="VQ236" s="423"/>
      <c r="VR236" s="423"/>
      <c r="VS236" s="423"/>
      <c r="VT236" s="423"/>
      <c r="VU236" s="423"/>
      <c r="VV236" s="423"/>
      <c r="VW236" s="423"/>
      <c r="VX236" s="423"/>
      <c r="VY236" s="423"/>
      <c r="VZ236" s="423"/>
      <c r="WA236" s="423"/>
      <c r="WB236" s="423"/>
      <c r="WC236" s="423"/>
      <c r="WD236" s="423"/>
      <c r="WE236" s="423"/>
      <c r="WF236" s="423"/>
      <c r="WG236" s="423"/>
      <c r="WH236" s="423"/>
      <c r="WI236" s="423"/>
      <c r="WJ236" s="423"/>
      <c r="WK236" s="423"/>
      <c r="WL236" s="423"/>
      <c r="WM236" s="423"/>
      <c r="WN236" s="423"/>
      <c r="WO236" s="423"/>
      <c r="WP236" s="423"/>
      <c r="WQ236" s="423"/>
      <c r="WR236" s="423"/>
      <c r="WS236" s="423"/>
      <c r="WT236" s="423"/>
      <c r="WU236" s="423"/>
      <c r="WV236" s="423"/>
      <c r="WW236" s="423"/>
      <c r="WX236" s="423"/>
      <c r="WY236" s="423"/>
      <c r="WZ236" s="423"/>
      <c r="XA236" s="423"/>
      <c r="XB236" s="423"/>
      <c r="XC236" s="423"/>
      <c r="XD236" s="423"/>
      <c r="XE236" s="423"/>
      <c r="XF236" s="423"/>
      <c r="XG236" s="423"/>
      <c r="XH236" s="423"/>
      <c r="XI236" s="423"/>
      <c r="XJ236" s="423"/>
      <c r="XK236" s="423"/>
      <c r="XL236" s="423"/>
      <c r="XM236" s="423"/>
      <c r="XN236" s="423"/>
      <c r="XO236" s="423"/>
      <c r="XP236" s="423"/>
      <c r="XQ236" s="423"/>
      <c r="XR236" s="423"/>
      <c r="XS236" s="423"/>
      <c r="XT236" s="423"/>
      <c r="XU236" s="423"/>
      <c r="XV236" s="423"/>
      <c r="XW236" s="423"/>
      <c r="XX236" s="423"/>
      <c r="XY236" s="423"/>
      <c r="XZ236" s="423"/>
      <c r="YA236" s="423"/>
      <c r="YB236" s="423"/>
      <c r="YC236" s="423"/>
      <c r="YD236" s="423"/>
      <c r="YE236" s="423"/>
      <c r="YF236" s="423"/>
      <c r="YG236" s="423"/>
      <c r="YH236" s="423"/>
      <c r="YI236" s="423"/>
      <c r="YJ236" s="423"/>
      <c r="YK236" s="423"/>
      <c r="YL236" s="423"/>
      <c r="YM236" s="423"/>
      <c r="YN236" s="423"/>
      <c r="YO236" s="423"/>
      <c r="YP236" s="423"/>
      <c r="YQ236" s="423"/>
      <c r="YR236" s="423"/>
      <c r="YS236" s="423"/>
      <c r="YT236" s="423"/>
      <c r="YU236" s="423"/>
      <c r="YV236" s="423"/>
      <c r="YW236" s="423"/>
      <c r="YX236" s="423"/>
      <c r="YY236" s="423"/>
      <c r="YZ236" s="423"/>
      <c r="ZA236" s="423"/>
      <c r="ZB236" s="423"/>
      <c r="ZC236" s="423"/>
      <c r="ZD236" s="423"/>
      <c r="ZE236" s="423"/>
      <c r="ZF236" s="423"/>
      <c r="ZG236" s="423"/>
      <c r="ZH236" s="423"/>
      <c r="ZI236" s="423"/>
      <c r="ZJ236" s="423"/>
      <c r="ZK236" s="423"/>
      <c r="ZL236" s="423"/>
      <c r="ZM236" s="423"/>
      <c r="ZN236" s="423"/>
      <c r="ZO236" s="423"/>
      <c r="ZP236" s="423"/>
      <c r="ZQ236" s="423"/>
      <c r="ZR236" s="423"/>
      <c r="ZS236" s="423"/>
      <c r="ZT236" s="423"/>
      <c r="ZU236" s="423"/>
      <c r="ZV236" s="423"/>
      <c r="ZW236" s="423"/>
      <c r="ZX236" s="423"/>
      <c r="ZY236" s="423"/>
      <c r="ZZ236" s="423"/>
      <c r="AAA236" s="423"/>
      <c r="AAB236" s="423"/>
      <c r="AAC236" s="423"/>
      <c r="AAD236" s="423"/>
      <c r="AAE236" s="423"/>
      <c r="AAF236" s="423"/>
      <c r="AAG236" s="423"/>
      <c r="AAH236" s="423"/>
      <c r="AAI236" s="423"/>
      <c r="AAJ236" s="423"/>
      <c r="AAK236" s="423"/>
      <c r="AAL236" s="423"/>
      <c r="AAM236" s="423"/>
      <c r="AAN236" s="423"/>
      <c r="AAO236" s="423"/>
      <c r="AAP236" s="423"/>
      <c r="AAQ236" s="423"/>
      <c r="AAR236" s="423"/>
      <c r="AAS236" s="423"/>
      <c r="AAT236" s="423"/>
      <c r="AAU236" s="423"/>
      <c r="AAV236" s="423"/>
      <c r="AAW236" s="423"/>
      <c r="AAX236" s="423"/>
      <c r="AAY236" s="423"/>
      <c r="AAZ236" s="423"/>
      <c r="ABA236" s="423"/>
      <c r="ABB236" s="423"/>
      <c r="ABC236" s="423"/>
      <c r="ABD236" s="423"/>
      <c r="ABE236" s="423"/>
      <c r="ABF236" s="423"/>
      <c r="ABG236" s="423"/>
      <c r="ABH236" s="423"/>
      <c r="ABI236" s="423"/>
      <c r="ABJ236" s="423"/>
      <c r="ABK236" s="423"/>
      <c r="ABL236" s="423"/>
      <c r="ABM236" s="423"/>
      <c r="ABN236" s="423"/>
      <c r="ABO236" s="423"/>
      <c r="ABP236" s="423"/>
      <c r="ABQ236" s="423"/>
      <c r="ABR236" s="423"/>
      <c r="ABS236" s="423"/>
      <c r="ABT236" s="423"/>
      <c r="ABU236" s="423"/>
      <c r="ABV236" s="423"/>
      <c r="ABW236" s="423"/>
      <c r="ABX236" s="423"/>
      <c r="ABY236" s="423"/>
      <c r="ABZ236" s="423"/>
      <c r="ACA236" s="423"/>
      <c r="ACB236" s="423"/>
      <c r="ACC236" s="423"/>
      <c r="ACD236" s="423"/>
      <c r="ACE236" s="423"/>
      <c r="ACF236" s="423"/>
      <c r="ACG236" s="423"/>
      <c r="ACH236" s="423"/>
      <c r="ACI236" s="423"/>
      <c r="ACJ236" s="423"/>
      <c r="ACK236" s="423"/>
      <c r="ACL236" s="423"/>
      <c r="ACM236" s="423"/>
      <c r="ACN236" s="423"/>
      <c r="ACO236" s="423"/>
      <c r="ACP236" s="423"/>
      <c r="ACQ236" s="423"/>
      <c r="ACR236" s="423"/>
      <c r="ACS236" s="423"/>
      <c r="ACT236" s="423"/>
      <c r="ACU236" s="423"/>
      <c r="ACV236" s="423"/>
      <c r="ACW236" s="423"/>
      <c r="ACX236" s="423"/>
      <c r="ACY236" s="423"/>
      <c r="ACZ236" s="423"/>
      <c r="ADA236" s="423"/>
      <c r="ADB236" s="423"/>
      <c r="ADC236" s="423"/>
      <c r="ADD236" s="423"/>
      <c r="ADE236" s="423"/>
      <c r="ADF236" s="423"/>
      <c r="ADG236" s="423"/>
      <c r="ADH236" s="423"/>
      <c r="ADI236" s="423"/>
      <c r="ADJ236" s="423"/>
    </row>
    <row r="237" spans="1:790" s="423" customFormat="1" x14ac:dyDescent="0.3">
      <c r="A237" s="628"/>
      <c r="B237" s="629"/>
      <c r="C237" s="630"/>
      <c r="D237" s="631"/>
      <c r="E237" s="625"/>
      <c r="F237" s="626"/>
      <c r="G237" s="626"/>
      <c r="H237" s="626"/>
      <c r="I237" s="624"/>
      <c r="J237" s="632"/>
      <c r="K237" s="633"/>
      <c r="L237" s="618"/>
      <c r="M237" s="619"/>
      <c r="N237" s="619"/>
      <c r="O237" s="620"/>
      <c r="P237" s="621"/>
      <c r="Q237" s="673"/>
      <c r="R237" s="481"/>
      <c r="S237" s="514"/>
      <c r="T237" s="515"/>
      <c r="U237" s="482"/>
      <c r="V237" s="514"/>
      <c r="W237" s="515"/>
      <c r="X237" s="517"/>
      <c r="Y237" s="517"/>
    </row>
    <row r="238" spans="1:790" s="423" customFormat="1" x14ac:dyDescent="0.3">
      <c r="A238" s="628"/>
      <c r="B238" s="612" t="s">
        <v>179</v>
      </c>
      <c r="C238" s="630"/>
      <c r="D238" s="631"/>
      <c r="E238" s="625"/>
      <c r="F238" s="626"/>
      <c r="G238" s="626"/>
      <c r="H238" s="626"/>
      <c r="I238" s="624"/>
      <c r="J238" s="632"/>
      <c r="K238" s="633"/>
      <c r="L238" s="618"/>
      <c r="M238" s="619"/>
      <c r="N238" s="619"/>
      <c r="O238" s="620"/>
      <c r="P238" s="621"/>
      <c r="Q238" s="673"/>
      <c r="R238" s="481"/>
      <c r="S238" s="514"/>
      <c r="T238" s="515"/>
      <c r="U238" s="482"/>
      <c r="V238" s="514"/>
      <c r="W238" s="515"/>
      <c r="X238" s="517"/>
      <c r="Y238" s="517"/>
    </row>
    <row r="239" spans="1:790" s="423" customFormat="1" ht="13.8" x14ac:dyDescent="0.3">
      <c r="A239" s="611"/>
      <c r="B239" s="623" t="s">
        <v>180</v>
      </c>
      <c r="C239" s="624">
        <f>J236</f>
        <v>1808.52</v>
      </c>
      <c r="D239" s="625"/>
      <c r="E239" s="625"/>
      <c r="F239" s="626"/>
      <c r="G239" s="626"/>
      <c r="H239" s="362">
        <f>+PRODUCT(C239:G239)</f>
        <v>1808.52</v>
      </c>
      <c r="I239" s="624" t="s">
        <v>22</v>
      </c>
      <c r="J239" s="626"/>
      <c r="K239" s="627"/>
      <c r="L239" s="618"/>
      <c r="M239" s="619"/>
      <c r="N239" s="619"/>
      <c r="O239" s="620"/>
      <c r="P239" s="621"/>
      <c r="Q239" s="673"/>
      <c r="R239" s="481"/>
      <c r="S239" s="514"/>
      <c r="T239" s="515"/>
      <c r="U239" s="482"/>
      <c r="V239" s="514"/>
      <c r="W239" s="515"/>
      <c r="X239" s="517"/>
      <c r="Y239" s="517"/>
    </row>
    <row r="240" spans="1:790" s="423" customFormat="1" ht="13.8" x14ac:dyDescent="0.3">
      <c r="A240" s="611"/>
      <c r="B240" s="634" t="s">
        <v>181</v>
      </c>
      <c r="C240" s="635">
        <v>-796.69</v>
      </c>
      <c r="D240" s="636"/>
      <c r="E240" s="636"/>
      <c r="F240" s="637"/>
      <c r="G240" s="637"/>
      <c r="H240" s="436">
        <f>+PRODUCT(C240:G240)</f>
        <v>-796.69</v>
      </c>
      <c r="I240" s="635" t="s">
        <v>22</v>
      </c>
      <c r="J240" s="637"/>
      <c r="K240" s="638"/>
      <c r="L240" s="618"/>
      <c r="M240" s="619"/>
      <c r="N240" s="619"/>
      <c r="O240" s="620"/>
      <c r="P240" s="621"/>
      <c r="Q240" s="673"/>
      <c r="R240" s="481"/>
      <c r="S240" s="514"/>
      <c r="T240" s="515"/>
      <c r="U240" s="482"/>
      <c r="V240" s="514"/>
      <c r="W240" s="515"/>
      <c r="X240" s="517"/>
      <c r="Y240" s="517"/>
    </row>
    <row r="241" spans="1:790" s="423" customFormat="1" x14ac:dyDescent="0.3">
      <c r="A241" s="653"/>
      <c r="B241" s="654"/>
      <c r="C241" s="655"/>
      <c r="D241" s="656"/>
      <c r="E241" s="657"/>
      <c r="F241" s="658"/>
      <c r="G241" s="658"/>
      <c r="H241" s="658">
        <f>H239+H240</f>
        <v>1011.8299999999999</v>
      </c>
      <c r="I241" s="659" t="s">
        <v>22</v>
      </c>
      <c r="J241" s="660">
        <f>H241</f>
        <v>1011.8299999999999</v>
      </c>
      <c r="K241" s="661">
        <v>15</v>
      </c>
      <c r="L241" s="662">
        <f>J241*K241</f>
        <v>15177.449999999999</v>
      </c>
      <c r="M241" s="490">
        <f t="shared" ref="M241" si="251">K241*(100%-16.5%)</f>
        <v>12.524999999999999</v>
      </c>
      <c r="N241" s="490">
        <f t="shared" ref="N241" si="252">IF(M241&gt;0,M241*J241,"")</f>
        <v>12673.170749999997</v>
      </c>
      <c r="O241" s="620"/>
      <c r="P241" s="621"/>
      <c r="Q241" s="674"/>
      <c r="R241" s="481">
        <f t="shared" ref="R241" si="253">IF(N241&gt;0,J241,"")</f>
        <v>1011.8299999999999</v>
      </c>
      <c r="S241" s="514">
        <f>[2]CM!$M$253</f>
        <v>3.5</v>
      </c>
      <c r="T241" s="515">
        <f t="shared" ref="T241" si="254">IF(S241&gt;0,S241*R241,"")</f>
        <v>3541.4049999999997</v>
      </c>
      <c r="U241" s="482">
        <f t="shared" ref="U241" si="255">IF(R241&gt;0,R241,"")</f>
        <v>1011.8299999999999</v>
      </c>
      <c r="V241" s="526">
        <f>V217</f>
        <v>0</v>
      </c>
      <c r="W241" s="515" t="str">
        <f t="shared" ref="W241" si="256">IF(V241&gt;0,V241*U241,"")</f>
        <v/>
      </c>
      <c r="X241" s="507">
        <f t="shared" ref="X241" si="257">V241+S241</f>
        <v>3.5</v>
      </c>
      <c r="Y241" s="520">
        <f t="shared" ref="Y241" si="258">M241-X241</f>
        <v>9.0249999999999986</v>
      </c>
      <c r="Z241" s="521">
        <f t="shared" ref="Z241" si="259">Y241/M241</f>
        <v>0.72055888223552889</v>
      </c>
    </row>
    <row r="242" spans="1:790" s="464" customFormat="1" x14ac:dyDescent="0.3">
      <c r="A242" s="663"/>
      <c r="B242" s="654"/>
      <c r="C242" s="655"/>
      <c r="D242" s="657"/>
      <c r="E242" s="657"/>
      <c r="F242" s="658"/>
      <c r="G242" s="658"/>
      <c r="H242" s="658"/>
      <c r="I242" s="659"/>
      <c r="J242" s="660"/>
      <c r="K242" s="664"/>
      <c r="L242" s="665"/>
      <c r="M242" s="622"/>
      <c r="N242" s="622"/>
      <c r="O242" s="620"/>
      <c r="P242" s="621"/>
      <c r="Q242" s="673"/>
      <c r="R242" s="481"/>
      <c r="S242" s="514"/>
      <c r="T242" s="515"/>
      <c r="U242" s="482"/>
      <c r="V242" s="514"/>
      <c r="W242" s="515"/>
      <c r="X242" s="517"/>
      <c r="Y242" s="517"/>
      <c r="Z242" s="423"/>
      <c r="AA242" s="423"/>
      <c r="AB242" s="423"/>
      <c r="AC242" s="423"/>
      <c r="AD242" s="423"/>
      <c r="AE242" s="423"/>
      <c r="AF242" s="423"/>
      <c r="AG242" s="423"/>
      <c r="AH242" s="423"/>
      <c r="AI242" s="423"/>
      <c r="AJ242" s="423"/>
      <c r="AK242" s="423"/>
      <c r="AL242" s="423"/>
      <c r="AM242" s="423"/>
      <c r="AN242" s="423"/>
      <c r="AO242" s="423"/>
      <c r="AP242" s="423"/>
      <c r="AQ242" s="423"/>
      <c r="AR242" s="423"/>
      <c r="AS242" s="423"/>
      <c r="AT242" s="423"/>
      <c r="AU242" s="423"/>
      <c r="AV242" s="423"/>
      <c r="AW242" s="423"/>
      <c r="AX242" s="423"/>
      <c r="AY242" s="423"/>
      <c r="AZ242" s="423"/>
      <c r="BA242" s="423"/>
      <c r="BB242" s="423"/>
      <c r="BC242" s="423"/>
      <c r="BD242" s="423"/>
      <c r="BE242" s="423"/>
      <c r="BF242" s="423"/>
      <c r="BG242" s="423"/>
      <c r="BH242" s="423"/>
      <c r="BI242" s="423"/>
      <c r="BJ242" s="423"/>
      <c r="BK242" s="423"/>
      <c r="BL242" s="423"/>
      <c r="BM242" s="423"/>
      <c r="BN242" s="423"/>
      <c r="BO242" s="423"/>
      <c r="BP242" s="423"/>
      <c r="BQ242" s="423"/>
      <c r="BR242" s="423"/>
      <c r="BS242" s="423"/>
      <c r="BT242" s="423"/>
      <c r="BU242" s="423"/>
      <c r="BV242" s="423"/>
      <c r="BW242" s="423"/>
      <c r="BX242" s="423"/>
      <c r="BY242" s="423"/>
      <c r="BZ242" s="423"/>
      <c r="CA242" s="423"/>
      <c r="CB242" s="423"/>
      <c r="CC242" s="423"/>
      <c r="CD242" s="423"/>
      <c r="CE242" s="423"/>
      <c r="CF242" s="423"/>
      <c r="CG242" s="423"/>
      <c r="CH242" s="423"/>
      <c r="CI242" s="423"/>
      <c r="CJ242" s="423"/>
      <c r="CK242" s="423"/>
      <c r="CL242" s="423"/>
      <c r="CM242" s="423"/>
      <c r="CN242" s="423"/>
      <c r="CO242" s="423"/>
      <c r="CP242" s="423"/>
      <c r="CQ242" s="423"/>
      <c r="CR242" s="423"/>
      <c r="CS242" s="423"/>
      <c r="CT242" s="423"/>
      <c r="CU242" s="423"/>
      <c r="CV242" s="423"/>
      <c r="CW242" s="423"/>
      <c r="CX242" s="423"/>
      <c r="CY242" s="423"/>
      <c r="CZ242" s="423"/>
      <c r="DA242" s="423"/>
      <c r="DB242" s="423"/>
      <c r="DC242" s="423"/>
      <c r="DD242" s="423"/>
      <c r="DE242" s="423"/>
      <c r="DF242" s="423"/>
      <c r="DG242" s="423"/>
      <c r="DH242" s="423"/>
      <c r="DI242" s="423"/>
      <c r="DJ242" s="423"/>
      <c r="DK242" s="423"/>
      <c r="DL242" s="423"/>
      <c r="DM242" s="423"/>
      <c r="DN242" s="423"/>
      <c r="DO242" s="423"/>
      <c r="DP242" s="423"/>
      <c r="DQ242" s="423"/>
      <c r="DR242" s="423"/>
      <c r="DS242" s="423"/>
      <c r="DT242" s="423"/>
      <c r="DU242" s="423"/>
      <c r="DV242" s="423"/>
      <c r="DW242" s="423"/>
      <c r="DX242" s="423"/>
      <c r="DY242" s="423"/>
      <c r="DZ242" s="423"/>
      <c r="EA242" s="423"/>
      <c r="EB242" s="423"/>
      <c r="EC242" s="423"/>
      <c r="ED242" s="423"/>
      <c r="EE242" s="423"/>
      <c r="EF242" s="423"/>
      <c r="EG242" s="423"/>
      <c r="EH242" s="423"/>
      <c r="EI242" s="423"/>
      <c r="EJ242" s="423"/>
      <c r="EK242" s="423"/>
      <c r="EL242" s="423"/>
      <c r="EM242" s="423"/>
      <c r="EN242" s="423"/>
      <c r="EO242" s="423"/>
      <c r="EP242" s="423"/>
      <c r="EQ242" s="423"/>
      <c r="ER242" s="423"/>
      <c r="ES242" s="423"/>
      <c r="ET242" s="423"/>
      <c r="EU242" s="423"/>
      <c r="EV242" s="423"/>
      <c r="EW242" s="423"/>
      <c r="EX242" s="423"/>
      <c r="EY242" s="423"/>
      <c r="EZ242" s="423"/>
      <c r="FA242" s="423"/>
      <c r="FB242" s="423"/>
      <c r="FC242" s="423"/>
      <c r="FD242" s="423"/>
      <c r="FE242" s="423"/>
      <c r="FF242" s="423"/>
      <c r="FG242" s="423"/>
      <c r="FH242" s="423"/>
      <c r="FI242" s="423"/>
      <c r="FJ242" s="423"/>
      <c r="FK242" s="423"/>
      <c r="FL242" s="423"/>
      <c r="FM242" s="423"/>
      <c r="FN242" s="423"/>
      <c r="FO242" s="423"/>
      <c r="FP242" s="423"/>
      <c r="FQ242" s="423"/>
      <c r="FR242" s="423"/>
      <c r="FS242" s="423"/>
      <c r="FT242" s="423"/>
      <c r="FU242" s="423"/>
      <c r="FV242" s="423"/>
      <c r="FW242" s="423"/>
      <c r="FX242" s="423"/>
      <c r="FY242" s="423"/>
      <c r="FZ242" s="423"/>
      <c r="GA242" s="423"/>
      <c r="GB242" s="423"/>
      <c r="GC242" s="423"/>
      <c r="GD242" s="423"/>
      <c r="GE242" s="423"/>
      <c r="GF242" s="423"/>
      <c r="GG242" s="423"/>
      <c r="GH242" s="423"/>
      <c r="GI242" s="423"/>
      <c r="GJ242" s="423"/>
      <c r="GK242" s="423"/>
      <c r="GL242" s="423"/>
      <c r="GM242" s="423"/>
      <c r="GN242" s="423"/>
      <c r="GO242" s="423"/>
      <c r="GP242" s="423"/>
      <c r="GQ242" s="423"/>
      <c r="GR242" s="423"/>
      <c r="GS242" s="423"/>
      <c r="GT242" s="423"/>
      <c r="GU242" s="423"/>
      <c r="GV242" s="423"/>
      <c r="GW242" s="423"/>
      <c r="GX242" s="423"/>
      <c r="GY242" s="423"/>
      <c r="GZ242" s="423"/>
      <c r="HA242" s="423"/>
      <c r="HB242" s="423"/>
      <c r="HC242" s="423"/>
      <c r="HD242" s="423"/>
      <c r="HE242" s="423"/>
      <c r="HF242" s="423"/>
      <c r="HG242" s="423"/>
      <c r="HH242" s="423"/>
      <c r="HI242" s="423"/>
      <c r="HJ242" s="423"/>
      <c r="HK242" s="423"/>
      <c r="HL242" s="423"/>
      <c r="HM242" s="423"/>
      <c r="HN242" s="423"/>
      <c r="HO242" s="423"/>
      <c r="HP242" s="423"/>
      <c r="HQ242" s="423"/>
      <c r="HR242" s="423"/>
      <c r="HS242" s="423"/>
      <c r="HT242" s="423"/>
      <c r="HU242" s="423"/>
      <c r="HV242" s="423"/>
      <c r="HW242" s="423"/>
      <c r="HX242" s="423"/>
      <c r="HY242" s="423"/>
      <c r="HZ242" s="423"/>
      <c r="IA242" s="423"/>
      <c r="IB242" s="423"/>
      <c r="IC242" s="423"/>
      <c r="ID242" s="423"/>
      <c r="IE242" s="423"/>
      <c r="IF242" s="423"/>
      <c r="IG242" s="423"/>
      <c r="IH242" s="423"/>
      <c r="II242" s="423"/>
      <c r="IJ242" s="423"/>
      <c r="IK242" s="423"/>
      <c r="IL242" s="423"/>
      <c r="IM242" s="423"/>
      <c r="IN242" s="423"/>
      <c r="IO242" s="423"/>
      <c r="IP242" s="423"/>
      <c r="IQ242" s="423"/>
      <c r="IR242" s="423"/>
      <c r="IS242" s="423"/>
      <c r="IT242" s="423"/>
      <c r="IU242" s="423"/>
      <c r="IV242" s="423"/>
      <c r="IW242" s="423"/>
      <c r="IX242" s="423"/>
      <c r="IY242" s="423"/>
      <c r="IZ242" s="423"/>
      <c r="JA242" s="423"/>
      <c r="JB242" s="423"/>
      <c r="JC242" s="423"/>
      <c r="JD242" s="423"/>
      <c r="JE242" s="423"/>
      <c r="JF242" s="423"/>
      <c r="JG242" s="423"/>
      <c r="JH242" s="423"/>
      <c r="JI242" s="423"/>
      <c r="JJ242" s="423"/>
      <c r="JK242" s="423"/>
      <c r="JL242" s="423"/>
      <c r="JM242" s="423"/>
      <c r="JN242" s="423"/>
      <c r="JO242" s="423"/>
      <c r="JP242" s="423"/>
      <c r="JQ242" s="423"/>
      <c r="JR242" s="423"/>
      <c r="JS242" s="423"/>
      <c r="JT242" s="423"/>
      <c r="JU242" s="423"/>
      <c r="JV242" s="423"/>
      <c r="JW242" s="423"/>
      <c r="JX242" s="423"/>
      <c r="JY242" s="423"/>
      <c r="JZ242" s="423"/>
      <c r="KA242" s="423"/>
      <c r="KB242" s="423"/>
      <c r="KC242" s="423"/>
      <c r="KD242" s="423"/>
      <c r="KE242" s="423"/>
      <c r="KF242" s="423"/>
      <c r="KG242" s="423"/>
      <c r="KH242" s="423"/>
      <c r="KI242" s="423"/>
      <c r="KJ242" s="423"/>
      <c r="KK242" s="423"/>
      <c r="KL242" s="423"/>
      <c r="KM242" s="423"/>
      <c r="KN242" s="423"/>
      <c r="KO242" s="423"/>
      <c r="KP242" s="423"/>
      <c r="KQ242" s="423"/>
      <c r="KR242" s="423"/>
      <c r="KS242" s="423"/>
      <c r="KT242" s="423"/>
      <c r="KU242" s="423"/>
      <c r="KV242" s="423"/>
      <c r="KW242" s="423"/>
      <c r="KX242" s="423"/>
      <c r="KY242" s="423"/>
      <c r="KZ242" s="423"/>
      <c r="LA242" s="423"/>
      <c r="LB242" s="423"/>
      <c r="LC242" s="423"/>
      <c r="LD242" s="423"/>
      <c r="LE242" s="423"/>
      <c r="LF242" s="423"/>
      <c r="LG242" s="423"/>
      <c r="LH242" s="423"/>
      <c r="LI242" s="423"/>
      <c r="LJ242" s="423"/>
      <c r="LK242" s="423"/>
      <c r="LL242" s="423"/>
      <c r="LM242" s="423"/>
      <c r="LN242" s="423"/>
      <c r="LO242" s="423"/>
      <c r="LP242" s="423"/>
      <c r="LQ242" s="423"/>
      <c r="LR242" s="423"/>
      <c r="LS242" s="423"/>
      <c r="LT242" s="423"/>
      <c r="LU242" s="423"/>
      <c r="LV242" s="423"/>
      <c r="LW242" s="423"/>
      <c r="LX242" s="423"/>
      <c r="LY242" s="423"/>
      <c r="LZ242" s="423"/>
      <c r="MA242" s="423"/>
      <c r="MB242" s="423"/>
      <c r="MC242" s="423"/>
      <c r="MD242" s="423"/>
      <c r="ME242" s="423"/>
      <c r="MF242" s="423"/>
      <c r="MG242" s="423"/>
      <c r="MH242" s="423"/>
      <c r="MI242" s="423"/>
      <c r="MJ242" s="423"/>
      <c r="MK242" s="423"/>
      <c r="ML242" s="423"/>
      <c r="MM242" s="423"/>
      <c r="MN242" s="423"/>
      <c r="MO242" s="423"/>
      <c r="MP242" s="423"/>
      <c r="MQ242" s="423"/>
      <c r="MR242" s="423"/>
      <c r="MS242" s="423"/>
      <c r="MT242" s="423"/>
      <c r="MU242" s="423"/>
      <c r="MV242" s="423"/>
      <c r="MW242" s="423"/>
      <c r="MX242" s="423"/>
      <c r="MY242" s="423"/>
      <c r="MZ242" s="423"/>
      <c r="NA242" s="423"/>
      <c r="NB242" s="423"/>
      <c r="NC242" s="423"/>
      <c r="ND242" s="423"/>
      <c r="NE242" s="423"/>
      <c r="NF242" s="423"/>
      <c r="NG242" s="423"/>
      <c r="NH242" s="423"/>
      <c r="NI242" s="423"/>
      <c r="NJ242" s="423"/>
      <c r="NK242" s="423"/>
      <c r="NL242" s="423"/>
      <c r="NM242" s="423"/>
      <c r="NN242" s="423"/>
      <c r="NO242" s="423"/>
      <c r="NP242" s="423"/>
      <c r="NQ242" s="423"/>
      <c r="NR242" s="423"/>
      <c r="NS242" s="423"/>
      <c r="NT242" s="423"/>
      <c r="NU242" s="423"/>
      <c r="NV242" s="423"/>
      <c r="NW242" s="423"/>
      <c r="NX242" s="423"/>
      <c r="NY242" s="423"/>
      <c r="NZ242" s="423"/>
      <c r="OA242" s="423"/>
      <c r="OB242" s="423"/>
      <c r="OC242" s="423"/>
      <c r="OD242" s="423"/>
      <c r="OE242" s="423"/>
      <c r="OF242" s="423"/>
      <c r="OG242" s="423"/>
      <c r="OH242" s="423"/>
      <c r="OI242" s="423"/>
      <c r="OJ242" s="423"/>
      <c r="OK242" s="423"/>
      <c r="OL242" s="423"/>
      <c r="OM242" s="423"/>
      <c r="ON242" s="423"/>
      <c r="OO242" s="423"/>
      <c r="OP242" s="423"/>
      <c r="OQ242" s="423"/>
      <c r="OR242" s="423"/>
      <c r="OS242" s="423"/>
      <c r="OT242" s="423"/>
      <c r="OU242" s="423"/>
      <c r="OV242" s="423"/>
      <c r="OW242" s="423"/>
      <c r="OX242" s="423"/>
      <c r="OY242" s="423"/>
      <c r="OZ242" s="423"/>
      <c r="PA242" s="423"/>
      <c r="PB242" s="423"/>
      <c r="PC242" s="423"/>
      <c r="PD242" s="423"/>
      <c r="PE242" s="423"/>
      <c r="PF242" s="423"/>
      <c r="PG242" s="423"/>
      <c r="PH242" s="423"/>
      <c r="PI242" s="423"/>
      <c r="PJ242" s="423"/>
      <c r="PK242" s="423"/>
      <c r="PL242" s="423"/>
      <c r="PM242" s="423"/>
      <c r="PN242" s="423"/>
      <c r="PO242" s="423"/>
      <c r="PP242" s="423"/>
      <c r="PQ242" s="423"/>
      <c r="PR242" s="423"/>
      <c r="PS242" s="423"/>
      <c r="PT242" s="423"/>
      <c r="PU242" s="423"/>
      <c r="PV242" s="423"/>
      <c r="PW242" s="423"/>
      <c r="PX242" s="423"/>
      <c r="PY242" s="423"/>
      <c r="PZ242" s="423"/>
      <c r="QA242" s="423"/>
      <c r="QB242" s="423"/>
      <c r="QC242" s="423"/>
      <c r="QD242" s="423"/>
      <c r="QE242" s="423"/>
      <c r="QF242" s="423"/>
      <c r="QG242" s="423"/>
      <c r="QH242" s="423"/>
      <c r="QI242" s="423"/>
      <c r="QJ242" s="423"/>
      <c r="QK242" s="423"/>
      <c r="QL242" s="423"/>
      <c r="QM242" s="423"/>
      <c r="QN242" s="423"/>
      <c r="QO242" s="423"/>
      <c r="QP242" s="423"/>
      <c r="QQ242" s="423"/>
      <c r="QR242" s="423"/>
      <c r="QS242" s="423"/>
      <c r="QT242" s="423"/>
      <c r="QU242" s="423"/>
      <c r="QV242" s="423"/>
      <c r="QW242" s="423"/>
      <c r="QX242" s="423"/>
      <c r="QY242" s="423"/>
      <c r="QZ242" s="423"/>
      <c r="RA242" s="423"/>
      <c r="RB242" s="423"/>
      <c r="RC242" s="423"/>
      <c r="RD242" s="423"/>
      <c r="RE242" s="423"/>
      <c r="RF242" s="423"/>
      <c r="RG242" s="423"/>
      <c r="RH242" s="423"/>
      <c r="RI242" s="423"/>
      <c r="RJ242" s="423"/>
      <c r="RK242" s="423"/>
      <c r="RL242" s="423"/>
      <c r="RM242" s="423"/>
      <c r="RN242" s="423"/>
      <c r="RO242" s="423"/>
      <c r="RP242" s="423"/>
      <c r="RQ242" s="423"/>
      <c r="RR242" s="423"/>
      <c r="RS242" s="423"/>
      <c r="RT242" s="423"/>
      <c r="RU242" s="423"/>
      <c r="RV242" s="423"/>
      <c r="RW242" s="423"/>
      <c r="RX242" s="423"/>
      <c r="RY242" s="423"/>
      <c r="RZ242" s="423"/>
      <c r="SA242" s="423"/>
      <c r="SB242" s="423"/>
      <c r="SC242" s="423"/>
      <c r="SD242" s="423"/>
      <c r="SE242" s="423"/>
      <c r="SF242" s="423"/>
      <c r="SG242" s="423"/>
      <c r="SH242" s="423"/>
      <c r="SI242" s="423"/>
      <c r="SJ242" s="423"/>
      <c r="SK242" s="423"/>
      <c r="SL242" s="423"/>
      <c r="SM242" s="423"/>
      <c r="SN242" s="423"/>
      <c r="SO242" s="423"/>
      <c r="SP242" s="423"/>
      <c r="SQ242" s="423"/>
      <c r="SR242" s="423"/>
      <c r="SS242" s="423"/>
      <c r="ST242" s="423"/>
      <c r="SU242" s="423"/>
      <c r="SV242" s="423"/>
      <c r="SW242" s="423"/>
      <c r="SX242" s="423"/>
      <c r="SY242" s="423"/>
      <c r="SZ242" s="423"/>
      <c r="TA242" s="423"/>
      <c r="TB242" s="423"/>
      <c r="TC242" s="423"/>
      <c r="TD242" s="423"/>
      <c r="TE242" s="423"/>
      <c r="TF242" s="423"/>
      <c r="TG242" s="423"/>
      <c r="TH242" s="423"/>
      <c r="TI242" s="423"/>
      <c r="TJ242" s="423"/>
      <c r="TK242" s="423"/>
      <c r="TL242" s="423"/>
      <c r="TM242" s="423"/>
      <c r="TN242" s="423"/>
      <c r="TO242" s="423"/>
      <c r="TP242" s="423"/>
      <c r="TQ242" s="423"/>
      <c r="TR242" s="423"/>
      <c r="TS242" s="423"/>
      <c r="TT242" s="423"/>
      <c r="TU242" s="423"/>
      <c r="TV242" s="423"/>
      <c r="TW242" s="423"/>
      <c r="TX242" s="423"/>
      <c r="TY242" s="423"/>
      <c r="TZ242" s="423"/>
      <c r="UA242" s="423"/>
      <c r="UB242" s="423"/>
      <c r="UC242" s="423"/>
      <c r="UD242" s="423"/>
      <c r="UE242" s="423"/>
      <c r="UF242" s="423"/>
      <c r="UG242" s="423"/>
      <c r="UH242" s="423"/>
      <c r="UI242" s="423"/>
      <c r="UJ242" s="423"/>
      <c r="UK242" s="423"/>
      <c r="UL242" s="423"/>
      <c r="UM242" s="423"/>
      <c r="UN242" s="423"/>
      <c r="UO242" s="423"/>
      <c r="UP242" s="423"/>
      <c r="UQ242" s="423"/>
      <c r="UR242" s="423"/>
      <c r="US242" s="423"/>
      <c r="UT242" s="423"/>
      <c r="UU242" s="423"/>
      <c r="UV242" s="423"/>
      <c r="UW242" s="423"/>
      <c r="UX242" s="423"/>
      <c r="UY242" s="423"/>
      <c r="UZ242" s="423"/>
      <c r="VA242" s="423"/>
      <c r="VB242" s="423"/>
      <c r="VC242" s="423"/>
      <c r="VD242" s="423"/>
      <c r="VE242" s="423"/>
      <c r="VF242" s="423"/>
      <c r="VG242" s="423"/>
      <c r="VH242" s="423"/>
      <c r="VI242" s="423"/>
      <c r="VJ242" s="423"/>
      <c r="VK242" s="423"/>
      <c r="VL242" s="423"/>
      <c r="VM242" s="423"/>
      <c r="VN242" s="423"/>
      <c r="VO242" s="423"/>
      <c r="VP242" s="423"/>
      <c r="VQ242" s="423"/>
      <c r="VR242" s="423"/>
      <c r="VS242" s="423"/>
      <c r="VT242" s="423"/>
      <c r="VU242" s="423"/>
      <c r="VV242" s="423"/>
      <c r="VW242" s="423"/>
      <c r="VX242" s="423"/>
      <c r="VY242" s="423"/>
      <c r="VZ242" s="423"/>
      <c r="WA242" s="423"/>
      <c r="WB242" s="423"/>
      <c r="WC242" s="423"/>
      <c r="WD242" s="423"/>
      <c r="WE242" s="423"/>
      <c r="WF242" s="423"/>
      <c r="WG242" s="423"/>
      <c r="WH242" s="423"/>
      <c r="WI242" s="423"/>
      <c r="WJ242" s="423"/>
      <c r="WK242" s="423"/>
      <c r="WL242" s="423"/>
      <c r="WM242" s="423"/>
      <c r="WN242" s="423"/>
      <c r="WO242" s="423"/>
      <c r="WP242" s="423"/>
      <c r="WQ242" s="423"/>
      <c r="WR242" s="423"/>
      <c r="WS242" s="423"/>
      <c r="WT242" s="423"/>
      <c r="WU242" s="423"/>
      <c r="WV242" s="423"/>
      <c r="WW242" s="423"/>
      <c r="WX242" s="423"/>
      <c r="WY242" s="423"/>
      <c r="WZ242" s="423"/>
      <c r="XA242" s="423"/>
      <c r="XB242" s="423"/>
      <c r="XC242" s="423"/>
      <c r="XD242" s="423"/>
      <c r="XE242" s="423"/>
      <c r="XF242" s="423"/>
      <c r="XG242" s="423"/>
      <c r="XH242" s="423"/>
      <c r="XI242" s="423"/>
      <c r="XJ242" s="423"/>
      <c r="XK242" s="423"/>
      <c r="XL242" s="423"/>
      <c r="XM242" s="423"/>
      <c r="XN242" s="423"/>
      <c r="XO242" s="423"/>
      <c r="XP242" s="423"/>
      <c r="XQ242" s="423"/>
      <c r="XR242" s="423"/>
      <c r="XS242" s="423"/>
      <c r="XT242" s="423"/>
      <c r="XU242" s="423"/>
      <c r="XV242" s="423"/>
      <c r="XW242" s="423"/>
      <c r="XX242" s="423"/>
      <c r="XY242" s="423"/>
      <c r="XZ242" s="423"/>
      <c r="YA242" s="423"/>
      <c r="YB242" s="423"/>
      <c r="YC242" s="423"/>
      <c r="YD242" s="423"/>
      <c r="YE242" s="423"/>
      <c r="YF242" s="423"/>
      <c r="YG242" s="423"/>
      <c r="YH242" s="423"/>
      <c r="YI242" s="423"/>
      <c r="YJ242" s="423"/>
      <c r="YK242" s="423"/>
      <c r="YL242" s="423"/>
      <c r="YM242" s="423"/>
      <c r="YN242" s="423"/>
      <c r="YO242" s="423"/>
      <c r="YP242" s="423"/>
      <c r="YQ242" s="423"/>
      <c r="YR242" s="423"/>
      <c r="YS242" s="423"/>
      <c r="YT242" s="423"/>
      <c r="YU242" s="423"/>
      <c r="YV242" s="423"/>
      <c r="YW242" s="423"/>
      <c r="YX242" s="423"/>
      <c r="YY242" s="423"/>
      <c r="YZ242" s="423"/>
      <c r="ZA242" s="423"/>
      <c r="ZB242" s="423"/>
      <c r="ZC242" s="423"/>
      <c r="ZD242" s="423"/>
      <c r="ZE242" s="423"/>
      <c r="ZF242" s="423"/>
      <c r="ZG242" s="423"/>
      <c r="ZH242" s="423"/>
      <c r="ZI242" s="423"/>
      <c r="ZJ242" s="423"/>
      <c r="ZK242" s="423"/>
      <c r="ZL242" s="423"/>
      <c r="ZM242" s="423"/>
      <c r="ZN242" s="423"/>
      <c r="ZO242" s="423"/>
      <c r="ZP242" s="423"/>
      <c r="ZQ242" s="423"/>
      <c r="ZR242" s="423"/>
      <c r="ZS242" s="423"/>
      <c r="ZT242" s="423"/>
      <c r="ZU242" s="423"/>
      <c r="ZV242" s="423"/>
      <c r="ZW242" s="423"/>
      <c r="ZX242" s="423"/>
      <c r="ZY242" s="423"/>
      <c r="ZZ242" s="423"/>
      <c r="AAA242" s="423"/>
      <c r="AAB242" s="423"/>
      <c r="AAC242" s="423"/>
      <c r="AAD242" s="423"/>
      <c r="AAE242" s="423"/>
      <c r="AAF242" s="423"/>
      <c r="AAG242" s="423"/>
      <c r="AAH242" s="423"/>
      <c r="AAI242" s="423"/>
      <c r="AAJ242" s="423"/>
      <c r="AAK242" s="423"/>
      <c r="AAL242" s="423"/>
      <c r="AAM242" s="423"/>
      <c r="AAN242" s="423"/>
      <c r="AAO242" s="423"/>
      <c r="AAP242" s="423"/>
      <c r="AAQ242" s="423"/>
      <c r="AAR242" s="423"/>
      <c r="AAS242" s="423"/>
      <c r="AAT242" s="423"/>
      <c r="AAU242" s="423"/>
      <c r="AAV242" s="423"/>
      <c r="AAW242" s="423"/>
      <c r="AAX242" s="423"/>
      <c r="AAY242" s="423"/>
      <c r="AAZ242" s="423"/>
      <c r="ABA242" s="423"/>
      <c r="ABB242" s="423"/>
      <c r="ABC242" s="423"/>
      <c r="ABD242" s="423"/>
      <c r="ABE242" s="423"/>
      <c r="ABF242" s="423"/>
      <c r="ABG242" s="423"/>
      <c r="ABH242" s="423"/>
      <c r="ABI242" s="423"/>
      <c r="ABJ242" s="423"/>
      <c r="ABK242" s="423"/>
      <c r="ABL242" s="423"/>
      <c r="ABM242" s="423"/>
      <c r="ABN242" s="423"/>
      <c r="ABO242" s="423"/>
      <c r="ABP242" s="423"/>
      <c r="ABQ242" s="423"/>
      <c r="ABR242" s="423"/>
      <c r="ABS242" s="423"/>
      <c r="ABT242" s="423"/>
      <c r="ABU242" s="423"/>
      <c r="ABV242" s="423"/>
      <c r="ABW242" s="423"/>
      <c r="ABX242" s="423"/>
      <c r="ABY242" s="423"/>
      <c r="ABZ242" s="423"/>
      <c r="ACA242" s="423"/>
      <c r="ACB242" s="423"/>
      <c r="ACC242" s="423"/>
      <c r="ACD242" s="423"/>
      <c r="ACE242" s="423"/>
      <c r="ACF242" s="423"/>
      <c r="ACG242" s="423"/>
      <c r="ACH242" s="423"/>
      <c r="ACI242" s="423"/>
      <c r="ACJ242" s="423"/>
      <c r="ACK242" s="423"/>
      <c r="ACL242" s="423"/>
      <c r="ACM242" s="423"/>
      <c r="ACN242" s="423"/>
      <c r="ACO242" s="423"/>
      <c r="ACP242" s="423"/>
      <c r="ACQ242" s="423"/>
      <c r="ACR242" s="423"/>
      <c r="ACS242" s="423"/>
      <c r="ACT242" s="423"/>
      <c r="ACU242" s="423"/>
      <c r="ACV242" s="423"/>
      <c r="ACW242" s="423"/>
      <c r="ACX242" s="423"/>
      <c r="ACY242" s="423"/>
      <c r="ACZ242" s="423"/>
      <c r="ADA242" s="423"/>
      <c r="ADB242" s="423"/>
      <c r="ADC242" s="423"/>
      <c r="ADD242" s="423"/>
      <c r="ADE242" s="423"/>
      <c r="ADF242" s="423"/>
      <c r="ADG242" s="423"/>
      <c r="ADH242" s="423"/>
      <c r="ADI242" s="423"/>
      <c r="ADJ242" s="423"/>
    </row>
    <row r="243" spans="1:790" s="464" customFormat="1" ht="13.8" x14ac:dyDescent="0.3">
      <c r="A243" s="663"/>
      <c r="B243" s="666" t="s">
        <v>139</v>
      </c>
      <c r="C243" s="655"/>
      <c r="D243" s="657"/>
      <c r="E243" s="657"/>
      <c r="F243" s="658"/>
      <c r="G243" s="658"/>
      <c r="H243" s="658"/>
      <c r="I243" s="659"/>
      <c r="J243" s="658"/>
      <c r="K243" s="667"/>
      <c r="L243" s="668"/>
      <c r="M243" s="619"/>
      <c r="N243" s="619"/>
      <c r="O243" s="620"/>
      <c r="P243" s="621"/>
      <c r="Q243" s="673"/>
      <c r="R243" s="481"/>
      <c r="S243" s="514"/>
      <c r="T243" s="515"/>
      <c r="U243" s="482"/>
      <c r="V243" s="514"/>
      <c r="W243" s="515"/>
      <c r="X243" s="517"/>
      <c r="Y243" s="517"/>
      <c r="Z243" s="423"/>
      <c r="AA243" s="423"/>
      <c r="AB243" s="423"/>
      <c r="AC243" s="423"/>
      <c r="AD243" s="423"/>
      <c r="AE243" s="423"/>
      <c r="AF243" s="423"/>
      <c r="AG243" s="423"/>
      <c r="AH243" s="423"/>
      <c r="AI243" s="423"/>
      <c r="AJ243" s="423"/>
      <c r="AK243" s="423"/>
      <c r="AL243" s="423"/>
      <c r="AM243" s="423"/>
      <c r="AN243" s="423"/>
      <c r="AO243" s="423"/>
      <c r="AP243" s="423"/>
      <c r="AQ243" s="423"/>
      <c r="AR243" s="423"/>
      <c r="AS243" s="423"/>
      <c r="AT243" s="423"/>
      <c r="AU243" s="423"/>
      <c r="AV243" s="423"/>
      <c r="AW243" s="423"/>
      <c r="AX243" s="423"/>
      <c r="AY243" s="423"/>
      <c r="AZ243" s="423"/>
      <c r="BA243" s="423"/>
      <c r="BB243" s="423"/>
      <c r="BC243" s="423"/>
      <c r="BD243" s="423"/>
      <c r="BE243" s="423"/>
      <c r="BF243" s="423"/>
      <c r="BG243" s="423"/>
      <c r="BH243" s="423"/>
      <c r="BI243" s="423"/>
      <c r="BJ243" s="423"/>
      <c r="BK243" s="423"/>
      <c r="BL243" s="423"/>
      <c r="BM243" s="423"/>
      <c r="BN243" s="423"/>
      <c r="BO243" s="423"/>
      <c r="BP243" s="423"/>
      <c r="BQ243" s="423"/>
      <c r="BR243" s="423"/>
      <c r="BS243" s="423"/>
      <c r="BT243" s="423"/>
      <c r="BU243" s="423"/>
      <c r="BV243" s="423"/>
      <c r="BW243" s="423"/>
      <c r="BX243" s="423"/>
      <c r="BY243" s="423"/>
      <c r="BZ243" s="423"/>
      <c r="CA243" s="423"/>
      <c r="CB243" s="423"/>
      <c r="CC243" s="423"/>
      <c r="CD243" s="423"/>
      <c r="CE243" s="423"/>
      <c r="CF243" s="423"/>
      <c r="CG243" s="423"/>
      <c r="CH243" s="423"/>
      <c r="CI243" s="423"/>
      <c r="CJ243" s="423"/>
      <c r="CK243" s="423"/>
      <c r="CL243" s="423"/>
      <c r="CM243" s="423"/>
      <c r="CN243" s="423"/>
      <c r="CO243" s="423"/>
      <c r="CP243" s="423"/>
      <c r="CQ243" s="423"/>
      <c r="CR243" s="423"/>
      <c r="CS243" s="423"/>
      <c r="CT243" s="423"/>
      <c r="CU243" s="423"/>
      <c r="CV243" s="423"/>
      <c r="CW243" s="423"/>
      <c r="CX243" s="423"/>
      <c r="CY243" s="423"/>
      <c r="CZ243" s="423"/>
      <c r="DA243" s="423"/>
      <c r="DB243" s="423"/>
      <c r="DC243" s="423"/>
      <c r="DD243" s="423"/>
      <c r="DE243" s="423"/>
      <c r="DF243" s="423"/>
      <c r="DG243" s="423"/>
      <c r="DH243" s="423"/>
      <c r="DI243" s="423"/>
      <c r="DJ243" s="423"/>
      <c r="DK243" s="423"/>
      <c r="DL243" s="423"/>
      <c r="DM243" s="423"/>
      <c r="DN243" s="423"/>
      <c r="DO243" s="423"/>
      <c r="DP243" s="423"/>
      <c r="DQ243" s="423"/>
      <c r="DR243" s="423"/>
      <c r="DS243" s="423"/>
      <c r="DT243" s="423"/>
      <c r="DU243" s="423"/>
      <c r="DV243" s="423"/>
      <c r="DW243" s="423"/>
      <c r="DX243" s="423"/>
      <c r="DY243" s="423"/>
      <c r="DZ243" s="423"/>
      <c r="EA243" s="423"/>
      <c r="EB243" s="423"/>
      <c r="EC243" s="423"/>
      <c r="ED243" s="423"/>
      <c r="EE243" s="423"/>
      <c r="EF243" s="423"/>
      <c r="EG243" s="423"/>
      <c r="EH243" s="423"/>
      <c r="EI243" s="423"/>
      <c r="EJ243" s="423"/>
      <c r="EK243" s="423"/>
      <c r="EL243" s="423"/>
      <c r="EM243" s="423"/>
      <c r="EN243" s="423"/>
      <c r="EO243" s="423"/>
      <c r="EP243" s="423"/>
      <c r="EQ243" s="423"/>
      <c r="ER243" s="423"/>
      <c r="ES243" s="423"/>
      <c r="ET243" s="423"/>
      <c r="EU243" s="423"/>
      <c r="EV243" s="423"/>
      <c r="EW243" s="423"/>
      <c r="EX243" s="423"/>
      <c r="EY243" s="423"/>
      <c r="EZ243" s="423"/>
      <c r="FA243" s="423"/>
      <c r="FB243" s="423"/>
      <c r="FC243" s="423"/>
      <c r="FD243" s="423"/>
      <c r="FE243" s="423"/>
      <c r="FF243" s="423"/>
      <c r="FG243" s="423"/>
      <c r="FH243" s="423"/>
      <c r="FI243" s="423"/>
      <c r="FJ243" s="423"/>
      <c r="FK243" s="423"/>
      <c r="FL243" s="423"/>
      <c r="FM243" s="423"/>
      <c r="FN243" s="423"/>
      <c r="FO243" s="423"/>
      <c r="FP243" s="423"/>
      <c r="FQ243" s="423"/>
      <c r="FR243" s="423"/>
      <c r="FS243" s="423"/>
      <c r="FT243" s="423"/>
      <c r="FU243" s="423"/>
      <c r="FV243" s="423"/>
      <c r="FW243" s="423"/>
      <c r="FX243" s="423"/>
      <c r="FY243" s="423"/>
      <c r="FZ243" s="423"/>
      <c r="GA243" s="423"/>
      <c r="GB243" s="423"/>
      <c r="GC243" s="423"/>
      <c r="GD243" s="423"/>
      <c r="GE243" s="423"/>
      <c r="GF243" s="423"/>
      <c r="GG243" s="423"/>
      <c r="GH243" s="423"/>
      <c r="GI243" s="423"/>
      <c r="GJ243" s="423"/>
      <c r="GK243" s="423"/>
      <c r="GL243" s="423"/>
      <c r="GM243" s="423"/>
      <c r="GN243" s="423"/>
      <c r="GO243" s="423"/>
      <c r="GP243" s="423"/>
      <c r="GQ243" s="423"/>
      <c r="GR243" s="423"/>
      <c r="GS243" s="423"/>
      <c r="GT243" s="423"/>
      <c r="GU243" s="423"/>
      <c r="GV243" s="423"/>
      <c r="GW243" s="423"/>
      <c r="GX243" s="423"/>
      <c r="GY243" s="423"/>
      <c r="GZ243" s="423"/>
      <c r="HA243" s="423"/>
      <c r="HB243" s="423"/>
      <c r="HC243" s="423"/>
      <c r="HD243" s="423"/>
      <c r="HE243" s="423"/>
      <c r="HF243" s="423"/>
      <c r="HG243" s="423"/>
      <c r="HH243" s="423"/>
      <c r="HI243" s="423"/>
      <c r="HJ243" s="423"/>
      <c r="HK243" s="423"/>
      <c r="HL243" s="423"/>
      <c r="HM243" s="423"/>
      <c r="HN243" s="423"/>
      <c r="HO243" s="423"/>
      <c r="HP243" s="423"/>
      <c r="HQ243" s="423"/>
      <c r="HR243" s="423"/>
      <c r="HS243" s="423"/>
      <c r="HT243" s="423"/>
      <c r="HU243" s="423"/>
      <c r="HV243" s="423"/>
      <c r="HW243" s="423"/>
      <c r="HX243" s="423"/>
      <c r="HY243" s="423"/>
      <c r="HZ243" s="423"/>
      <c r="IA243" s="423"/>
      <c r="IB243" s="423"/>
      <c r="IC243" s="423"/>
      <c r="ID243" s="423"/>
      <c r="IE243" s="423"/>
      <c r="IF243" s="423"/>
      <c r="IG243" s="423"/>
      <c r="IH243" s="423"/>
      <c r="II243" s="423"/>
      <c r="IJ243" s="423"/>
      <c r="IK243" s="423"/>
      <c r="IL243" s="423"/>
      <c r="IM243" s="423"/>
      <c r="IN243" s="423"/>
      <c r="IO243" s="423"/>
      <c r="IP243" s="423"/>
      <c r="IQ243" s="423"/>
      <c r="IR243" s="423"/>
      <c r="IS243" s="423"/>
      <c r="IT243" s="423"/>
      <c r="IU243" s="423"/>
      <c r="IV243" s="423"/>
      <c r="IW243" s="423"/>
      <c r="IX243" s="423"/>
      <c r="IY243" s="423"/>
      <c r="IZ243" s="423"/>
      <c r="JA243" s="423"/>
      <c r="JB243" s="423"/>
      <c r="JC243" s="423"/>
      <c r="JD243" s="423"/>
      <c r="JE243" s="423"/>
      <c r="JF243" s="423"/>
      <c r="JG243" s="423"/>
      <c r="JH243" s="423"/>
      <c r="JI243" s="423"/>
      <c r="JJ243" s="423"/>
      <c r="JK243" s="423"/>
      <c r="JL243" s="423"/>
      <c r="JM243" s="423"/>
      <c r="JN243" s="423"/>
      <c r="JO243" s="423"/>
      <c r="JP243" s="423"/>
      <c r="JQ243" s="423"/>
      <c r="JR243" s="423"/>
      <c r="JS243" s="423"/>
      <c r="JT243" s="423"/>
      <c r="JU243" s="423"/>
      <c r="JV243" s="423"/>
      <c r="JW243" s="423"/>
      <c r="JX243" s="423"/>
      <c r="JY243" s="423"/>
      <c r="JZ243" s="423"/>
      <c r="KA243" s="423"/>
      <c r="KB243" s="423"/>
      <c r="KC243" s="423"/>
      <c r="KD243" s="423"/>
      <c r="KE243" s="423"/>
      <c r="KF243" s="423"/>
      <c r="KG243" s="423"/>
      <c r="KH243" s="423"/>
      <c r="KI243" s="423"/>
      <c r="KJ243" s="423"/>
      <c r="KK243" s="423"/>
      <c r="KL243" s="423"/>
      <c r="KM243" s="423"/>
      <c r="KN243" s="423"/>
      <c r="KO243" s="423"/>
      <c r="KP243" s="423"/>
      <c r="KQ243" s="423"/>
      <c r="KR243" s="423"/>
      <c r="KS243" s="423"/>
      <c r="KT243" s="423"/>
      <c r="KU243" s="423"/>
      <c r="KV243" s="423"/>
      <c r="KW243" s="423"/>
      <c r="KX243" s="423"/>
      <c r="KY243" s="423"/>
      <c r="KZ243" s="423"/>
      <c r="LA243" s="423"/>
      <c r="LB243" s="423"/>
      <c r="LC243" s="423"/>
      <c r="LD243" s="423"/>
      <c r="LE243" s="423"/>
      <c r="LF243" s="423"/>
      <c r="LG243" s="423"/>
      <c r="LH243" s="423"/>
      <c r="LI243" s="423"/>
      <c r="LJ243" s="423"/>
      <c r="LK243" s="423"/>
      <c r="LL243" s="423"/>
      <c r="LM243" s="423"/>
      <c r="LN243" s="423"/>
      <c r="LO243" s="423"/>
      <c r="LP243" s="423"/>
      <c r="LQ243" s="423"/>
      <c r="LR243" s="423"/>
      <c r="LS243" s="423"/>
      <c r="LT243" s="423"/>
      <c r="LU243" s="423"/>
      <c r="LV243" s="423"/>
      <c r="LW243" s="423"/>
      <c r="LX243" s="423"/>
      <c r="LY243" s="423"/>
      <c r="LZ243" s="423"/>
      <c r="MA243" s="423"/>
      <c r="MB243" s="423"/>
      <c r="MC243" s="423"/>
      <c r="MD243" s="423"/>
      <c r="ME243" s="423"/>
      <c r="MF243" s="423"/>
      <c r="MG243" s="423"/>
      <c r="MH243" s="423"/>
      <c r="MI243" s="423"/>
      <c r="MJ243" s="423"/>
      <c r="MK243" s="423"/>
      <c r="ML243" s="423"/>
      <c r="MM243" s="423"/>
      <c r="MN243" s="423"/>
      <c r="MO243" s="423"/>
      <c r="MP243" s="423"/>
      <c r="MQ243" s="423"/>
      <c r="MR243" s="423"/>
      <c r="MS243" s="423"/>
      <c r="MT243" s="423"/>
      <c r="MU243" s="423"/>
      <c r="MV243" s="423"/>
      <c r="MW243" s="423"/>
      <c r="MX243" s="423"/>
      <c r="MY243" s="423"/>
      <c r="MZ243" s="423"/>
      <c r="NA243" s="423"/>
      <c r="NB243" s="423"/>
      <c r="NC243" s="423"/>
      <c r="ND243" s="423"/>
      <c r="NE243" s="423"/>
      <c r="NF243" s="423"/>
      <c r="NG243" s="423"/>
      <c r="NH243" s="423"/>
      <c r="NI243" s="423"/>
      <c r="NJ243" s="423"/>
      <c r="NK243" s="423"/>
      <c r="NL243" s="423"/>
      <c r="NM243" s="423"/>
      <c r="NN243" s="423"/>
      <c r="NO243" s="423"/>
      <c r="NP243" s="423"/>
      <c r="NQ243" s="423"/>
      <c r="NR243" s="423"/>
      <c r="NS243" s="423"/>
      <c r="NT243" s="423"/>
      <c r="NU243" s="423"/>
      <c r="NV243" s="423"/>
      <c r="NW243" s="423"/>
      <c r="NX243" s="423"/>
      <c r="NY243" s="423"/>
      <c r="NZ243" s="423"/>
      <c r="OA243" s="423"/>
      <c r="OB243" s="423"/>
      <c r="OC243" s="423"/>
      <c r="OD243" s="423"/>
      <c r="OE243" s="423"/>
      <c r="OF243" s="423"/>
      <c r="OG243" s="423"/>
      <c r="OH243" s="423"/>
      <c r="OI243" s="423"/>
      <c r="OJ243" s="423"/>
      <c r="OK243" s="423"/>
      <c r="OL243" s="423"/>
      <c r="OM243" s="423"/>
      <c r="ON243" s="423"/>
      <c r="OO243" s="423"/>
      <c r="OP243" s="423"/>
      <c r="OQ243" s="423"/>
      <c r="OR243" s="423"/>
      <c r="OS243" s="423"/>
      <c r="OT243" s="423"/>
      <c r="OU243" s="423"/>
      <c r="OV243" s="423"/>
      <c r="OW243" s="423"/>
      <c r="OX243" s="423"/>
      <c r="OY243" s="423"/>
      <c r="OZ243" s="423"/>
      <c r="PA243" s="423"/>
      <c r="PB243" s="423"/>
      <c r="PC243" s="423"/>
      <c r="PD243" s="423"/>
      <c r="PE243" s="423"/>
      <c r="PF243" s="423"/>
      <c r="PG243" s="423"/>
      <c r="PH243" s="423"/>
      <c r="PI243" s="423"/>
      <c r="PJ243" s="423"/>
      <c r="PK243" s="423"/>
      <c r="PL243" s="423"/>
      <c r="PM243" s="423"/>
      <c r="PN243" s="423"/>
      <c r="PO243" s="423"/>
      <c r="PP243" s="423"/>
      <c r="PQ243" s="423"/>
      <c r="PR243" s="423"/>
      <c r="PS243" s="423"/>
      <c r="PT243" s="423"/>
      <c r="PU243" s="423"/>
      <c r="PV243" s="423"/>
      <c r="PW243" s="423"/>
      <c r="PX243" s="423"/>
      <c r="PY243" s="423"/>
      <c r="PZ243" s="423"/>
      <c r="QA243" s="423"/>
      <c r="QB243" s="423"/>
      <c r="QC243" s="423"/>
      <c r="QD243" s="423"/>
      <c r="QE243" s="423"/>
      <c r="QF243" s="423"/>
      <c r="QG243" s="423"/>
      <c r="QH243" s="423"/>
      <c r="QI243" s="423"/>
      <c r="QJ243" s="423"/>
      <c r="QK243" s="423"/>
      <c r="QL243" s="423"/>
      <c r="QM243" s="423"/>
      <c r="QN243" s="423"/>
      <c r="QO243" s="423"/>
      <c r="QP243" s="423"/>
      <c r="QQ243" s="423"/>
      <c r="QR243" s="423"/>
      <c r="QS243" s="423"/>
      <c r="QT243" s="423"/>
      <c r="QU243" s="423"/>
      <c r="QV243" s="423"/>
      <c r="QW243" s="423"/>
      <c r="QX243" s="423"/>
      <c r="QY243" s="423"/>
      <c r="QZ243" s="423"/>
      <c r="RA243" s="423"/>
      <c r="RB243" s="423"/>
      <c r="RC243" s="423"/>
      <c r="RD243" s="423"/>
      <c r="RE243" s="423"/>
      <c r="RF243" s="423"/>
      <c r="RG243" s="423"/>
      <c r="RH243" s="423"/>
      <c r="RI243" s="423"/>
      <c r="RJ243" s="423"/>
      <c r="RK243" s="423"/>
      <c r="RL243" s="423"/>
      <c r="RM243" s="423"/>
      <c r="RN243" s="423"/>
      <c r="RO243" s="423"/>
      <c r="RP243" s="423"/>
      <c r="RQ243" s="423"/>
      <c r="RR243" s="423"/>
      <c r="RS243" s="423"/>
      <c r="RT243" s="423"/>
      <c r="RU243" s="423"/>
      <c r="RV243" s="423"/>
      <c r="RW243" s="423"/>
      <c r="RX243" s="423"/>
      <c r="RY243" s="423"/>
      <c r="RZ243" s="423"/>
      <c r="SA243" s="423"/>
      <c r="SB243" s="423"/>
      <c r="SC243" s="423"/>
      <c r="SD243" s="423"/>
      <c r="SE243" s="423"/>
      <c r="SF243" s="423"/>
      <c r="SG243" s="423"/>
      <c r="SH243" s="423"/>
      <c r="SI243" s="423"/>
      <c r="SJ243" s="423"/>
      <c r="SK243" s="423"/>
      <c r="SL243" s="423"/>
      <c r="SM243" s="423"/>
      <c r="SN243" s="423"/>
      <c r="SO243" s="423"/>
      <c r="SP243" s="423"/>
      <c r="SQ243" s="423"/>
      <c r="SR243" s="423"/>
      <c r="SS243" s="423"/>
      <c r="ST243" s="423"/>
      <c r="SU243" s="423"/>
      <c r="SV243" s="423"/>
      <c r="SW243" s="423"/>
      <c r="SX243" s="423"/>
      <c r="SY243" s="423"/>
      <c r="SZ243" s="423"/>
      <c r="TA243" s="423"/>
      <c r="TB243" s="423"/>
      <c r="TC243" s="423"/>
      <c r="TD243" s="423"/>
      <c r="TE243" s="423"/>
      <c r="TF243" s="423"/>
      <c r="TG243" s="423"/>
      <c r="TH243" s="423"/>
      <c r="TI243" s="423"/>
      <c r="TJ243" s="423"/>
      <c r="TK243" s="423"/>
      <c r="TL243" s="423"/>
      <c r="TM243" s="423"/>
      <c r="TN243" s="423"/>
      <c r="TO243" s="423"/>
      <c r="TP243" s="423"/>
      <c r="TQ243" s="423"/>
      <c r="TR243" s="423"/>
      <c r="TS243" s="423"/>
      <c r="TT243" s="423"/>
      <c r="TU243" s="423"/>
      <c r="TV243" s="423"/>
      <c r="TW243" s="423"/>
      <c r="TX243" s="423"/>
      <c r="TY243" s="423"/>
      <c r="TZ243" s="423"/>
      <c r="UA243" s="423"/>
      <c r="UB243" s="423"/>
      <c r="UC243" s="423"/>
      <c r="UD243" s="423"/>
      <c r="UE243" s="423"/>
      <c r="UF243" s="423"/>
      <c r="UG243" s="423"/>
      <c r="UH243" s="423"/>
      <c r="UI243" s="423"/>
      <c r="UJ243" s="423"/>
      <c r="UK243" s="423"/>
      <c r="UL243" s="423"/>
      <c r="UM243" s="423"/>
      <c r="UN243" s="423"/>
      <c r="UO243" s="423"/>
      <c r="UP243" s="423"/>
      <c r="UQ243" s="423"/>
      <c r="UR243" s="423"/>
      <c r="US243" s="423"/>
      <c r="UT243" s="423"/>
      <c r="UU243" s="423"/>
      <c r="UV243" s="423"/>
      <c r="UW243" s="423"/>
      <c r="UX243" s="423"/>
      <c r="UY243" s="423"/>
      <c r="UZ243" s="423"/>
      <c r="VA243" s="423"/>
      <c r="VB243" s="423"/>
      <c r="VC243" s="423"/>
      <c r="VD243" s="423"/>
      <c r="VE243" s="423"/>
      <c r="VF243" s="423"/>
      <c r="VG243" s="423"/>
      <c r="VH243" s="423"/>
      <c r="VI243" s="423"/>
      <c r="VJ243" s="423"/>
      <c r="VK243" s="423"/>
      <c r="VL243" s="423"/>
      <c r="VM243" s="423"/>
      <c r="VN243" s="423"/>
      <c r="VO243" s="423"/>
      <c r="VP243" s="423"/>
      <c r="VQ243" s="423"/>
      <c r="VR243" s="423"/>
      <c r="VS243" s="423"/>
      <c r="VT243" s="423"/>
      <c r="VU243" s="423"/>
      <c r="VV243" s="423"/>
      <c r="VW243" s="423"/>
      <c r="VX243" s="423"/>
      <c r="VY243" s="423"/>
      <c r="VZ243" s="423"/>
      <c r="WA243" s="423"/>
      <c r="WB243" s="423"/>
      <c r="WC243" s="423"/>
      <c r="WD243" s="423"/>
      <c r="WE243" s="423"/>
      <c r="WF243" s="423"/>
      <c r="WG243" s="423"/>
      <c r="WH243" s="423"/>
      <c r="WI243" s="423"/>
      <c r="WJ243" s="423"/>
      <c r="WK243" s="423"/>
      <c r="WL243" s="423"/>
      <c r="WM243" s="423"/>
      <c r="WN243" s="423"/>
      <c r="WO243" s="423"/>
      <c r="WP243" s="423"/>
      <c r="WQ243" s="423"/>
      <c r="WR243" s="423"/>
      <c r="WS243" s="423"/>
      <c r="WT243" s="423"/>
      <c r="WU243" s="423"/>
      <c r="WV243" s="423"/>
      <c r="WW243" s="423"/>
      <c r="WX243" s="423"/>
      <c r="WY243" s="423"/>
      <c r="WZ243" s="423"/>
      <c r="XA243" s="423"/>
      <c r="XB243" s="423"/>
      <c r="XC243" s="423"/>
      <c r="XD243" s="423"/>
      <c r="XE243" s="423"/>
      <c r="XF243" s="423"/>
      <c r="XG243" s="423"/>
      <c r="XH243" s="423"/>
      <c r="XI243" s="423"/>
      <c r="XJ243" s="423"/>
      <c r="XK243" s="423"/>
      <c r="XL243" s="423"/>
      <c r="XM243" s="423"/>
      <c r="XN243" s="423"/>
      <c r="XO243" s="423"/>
      <c r="XP243" s="423"/>
      <c r="XQ243" s="423"/>
      <c r="XR243" s="423"/>
      <c r="XS243" s="423"/>
      <c r="XT243" s="423"/>
      <c r="XU243" s="423"/>
      <c r="XV243" s="423"/>
      <c r="XW243" s="423"/>
      <c r="XX243" s="423"/>
      <c r="XY243" s="423"/>
      <c r="XZ243" s="423"/>
      <c r="YA243" s="423"/>
      <c r="YB243" s="423"/>
      <c r="YC243" s="423"/>
      <c r="YD243" s="423"/>
      <c r="YE243" s="423"/>
      <c r="YF243" s="423"/>
      <c r="YG243" s="423"/>
      <c r="YH243" s="423"/>
      <c r="YI243" s="423"/>
      <c r="YJ243" s="423"/>
      <c r="YK243" s="423"/>
      <c r="YL243" s="423"/>
      <c r="YM243" s="423"/>
      <c r="YN243" s="423"/>
      <c r="YO243" s="423"/>
      <c r="YP243" s="423"/>
      <c r="YQ243" s="423"/>
      <c r="YR243" s="423"/>
      <c r="YS243" s="423"/>
      <c r="YT243" s="423"/>
      <c r="YU243" s="423"/>
      <c r="YV243" s="423"/>
      <c r="YW243" s="423"/>
      <c r="YX243" s="423"/>
      <c r="YY243" s="423"/>
      <c r="YZ243" s="423"/>
      <c r="ZA243" s="423"/>
      <c r="ZB243" s="423"/>
      <c r="ZC243" s="423"/>
      <c r="ZD243" s="423"/>
      <c r="ZE243" s="423"/>
      <c r="ZF243" s="423"/>
      <c r="ZG243" s="423"/>
      <c r="ZH243" s="423"/>
      <c r="ZI243" s="423"/>
      <c r="ZJ243" s="423"/>
      <c r="ZK243" s="423"/>
      <c r="ZL243" s="423"/>
      <c r="ZM243" s="423"/>
      <c r="ZN243" s="423"/>
      <c r="ZO243" s="423"/>
      <c r="ZP243" s="423"/>
      <c r="ZQ243" s="423"/>
      <c r="ZR243" s="423"/>
      <c r="ZS243" s="423"/>
      <c r="ZT243" s="423"/>
      <c r="ZU243" s="423"/>
      <c r="ZV243" s="423"/>
      <c r="ZW243" s="423"/>
      <c r="ZX243" s="423"/>
      <c r="ZY243" s="423"/>
      <c r="ZZ243" s="423"/>
      <c r="AAA243" s="423"/>
      <c r="AAB243" s="423"/>
      <c r="AAC243" s="423"/>
      <c r="AAD243" s="423"/>
      <c r="AAE243" s="423"/>
      <c r="AAF243" s="423"/>
      <c r="AAG243" s="423"/>
      <c r="AAH243" s="423"/>
      <c r="AAI243" s="423"/>
      <c r="AAJ243" s="423"/>
      <c r="AAK243" s="423"/>
      <c r="AAL243" s="423"/>
      <c r="AAM243" s="423"/>
      <c r="AAN243" s="423"/>
      <c r="AAO243" s="423"/>
      <c r="AAP243" s="423"/>
      <c r="AAQ243" s="423"/>
      <c r="AAR243" s="423"/>
      <c r="AAS243" s="423"/>
      <c r="AAT243" s="423"/>
      <c r="AAU243" s="423"/>
      <c r="AAV243" s="423"/>
      <c r="AAW243" s="423"/>
      <c r="AAX243" s="423"/>
      <c r="AAY243" s="423"/>
      <c r="AAZ243" s="423"/>
      <c r="ABA243" s="423"/>
      <c r="ABB243" s="423"/>
      <c r="ABC243" s="423"/>
      <c r="ABD243" s="423"/>
      <c r="ABE243" s="423"/>
      <c r="ABF243" s="423"/>
      <c r="ABG243" s="423"/>
      <c r="ABH243" s="423"/>
      <c r="ABI243" s="423"/>
      <c r="ABJ243" s="423"/>
      <c r="ABK243" s="423"/>
      <c r="ABL243" s="423"/>
      <c r="ABM243" s="423"/>
      <c r="ABN243" s="423"/>
      <c r="ABO243" s="423"/>
      <c r="ABP243" s="423"/>
      <c r="ABQ243" s="423"/>
      <c r="ABR243" s="423"/>
      <c r="ABS243" s="423"/>
      <c r="ABT243" s="423"/>
      <c r="ABU243" s="423"/>
      <c r="ABV243" s="423"/>
      <c r="ABW243" s="423"/>
      <c r="ABX243" s="423"/>
      <c r="ABY243" s="423"/>
      <c r="ABZ243" s="423"/>
      <c r="ACA243" s="423"/>
      <c r="ACB243" s="423"/>
      <c r="ACC243" s="423"/>
      <c r="ACD243" s="423"/>
      <c r="ACE243" s="423"/>
      <c r="ACF243" s="423"/>
      <c r="ACG243" s="423"/>
      <c r="ACH243" s="423"/>
      <c r="ACI243" s="423"/>
      <c r="ACJ243" s="423"/>
      <c r="ACK243" s="423"/>
      <c r="ACL243" s="423"/>
      <c r="ACM243" s="423"/>
      <c r="ACN243" s="423"/>
      <c r="ACO243" s="423"/>
      <c r="ACP243" s="423"/>
      <c r="ACQ243" s="423"/>
      <c r="ACR243" s="423"/>
      <c r="ACS243" s="423"/>
      <c r="ACT243" s="423"/>
      <c r="ACU243" s="423"/>
      <c r="ACV243" s="423"/>
      <c r="ACW243" s="423"/>
      <c r="ACX243" s="423"/>
      <c r="ACY243" s="423"/>
      <c r="ACZ243" s="423"/>
      <c r="ADA243" s="423"/>
      <c r="ADB243" s="423"/>
      <c r="ADC243" s="423"/>
      <c r="ADD243" s="423"/>
      <c r="ADE243" s="423"/>
      <c r="ADF243" s="423"/>
      <c r="ADG243" s="423"/>
      <c r="ADH243" s="423"/>
      <c r="ADI243" s="423"/>
      <c r="ADJ243" s="423"/>
    </row>
    <row r="244" spans="1:790" s="423" customFormat="1" ht="13.8" x14ac:dyDescent="0.3">
      <c r="A244" s="663"/>
      <c r="B244" s="669" t="s">
        <v>140</v>
      </c>
      <c r="C244" s="655">
        <v>24</v>
      </c>
      <c r="D244" s="657">
        <v>3.5</v>
      </c>
      <c r="E244" s="657">
        <v>3</v>
      </c>
      <c r="F244" s="658"/>
      <c r="G244" s="658">
        <v>0.9</v>
      </c>
      <c r="H244" s="670">
        <f>+PRODUCT(C244:G244)</f>
        <v>226.8</v>
      </c>
      <c r="I244" s="659" t="s">
        <v>22</v>
      </c>
      <c r="J244" s="658">
        <f>C244*D244*E244*G244</f>
        <v>226.8</v>
      </c>
      <c r="K244" s="667"/>
      <c r="L244" s="662"/>
      <c r="M244" s="490"/>
      <c r="N244" s="490"/>
      <c r="O244" s="620"/>
      <c r="P244" s="621"/>
      <c r="Q244" s="674"/>
      <c r="R244" s="481"/>
      <c r="S244" s="514"/>
      <c r="T244" s="515"/>
      <c r="U244" s="482"/>
      <c r="V244" s="514"/>
      <c r="W244" s="515"/>
      <c r="X244" s="517"/>
      <c r="Y244" s="517"/>
    </row>
    <row r="245" spans="1:790" s="464" customFormat="1" x14ac:dyDescent="0.3">
      <c r="A245" s="653"/>
      <c r="B245" s="654"/>
      <c r="C245" s="655"/>
      <c r="D245" s="657"/>
      <c r="E245" s="657"/>
      <c r="F245" s="658"/>
      <c r="G245" s="658"/>
      <c r="H245" s="658"/>
      <c r="I245" s="659" t="s">
        <v>22</v>
      </c>
      <c r="J245" s="660">
        <f>SUM(J244:J244)</f>
        <v>226.8</v>
      </c>
      <c r="K245" s="661">
        <v>8</v>
      </c>
      <c r="L245" s="662">
        <f t="shared" ref="L245" si="260">J245*K245</f>
        <v>1814.4</v>
      </c>
      <c r="M245" s="490">
        <f t="shared" ref="M245" si="261">K245*(100%-16.5%)</f>
        <v>6.68</v>
      </c>
      <c r="N245" s="490">
        <f t="shared" ref="N245" si="262">IF(M245&gt;0,M245*J245,"")</f>
        <v>1515.0240000000001</v>
      </c>
      <c r="O245" s="620"/>
      <c r="P245" s="621"/>
      <c r="Q245" s="674"/>
      <c r="R245" s="481">
        <f t="shared" ref="R245" si="263">IF(N245&gt;0,J245,"")</f>
        <v>226.8</v>
      </c>
      <c r="S245" s="514">
        <f>[2]CM!$M$123</f>
        <v>3</v>
      </c>
      <c r="T245" s="515">
        <f t="shared" ref="T245" si="264">IF(S245&gt;0,S245*R245,"")</f>
        <v>680.40000000000009</v>
      </c>
      <c r="U245" s="482">
        <f t="shared" ref="U245" si="265">IF(R245&gt;0,R245,"")</f>
        <v>226.8</v>
      </c>
      <c r="V245" s="526">
        <f>V221</f>
        <v>0</v>
      </c>
      <c r="W245" s="515" t="str">
        <f t="shared" ref="W245" si="266">IF(V245&gt;0,V245*U245,"")</f>
        <v/>
      </c>
      <c r="X245" s="507">
        <f t="shared" ref="X245" si="267">V245+S245</f>
        <v>3</v>
      </c>
      <c r="Y245" s="520">
        <f t="shared" ref="Y245" si="268">M245-X245</f>
        <v>3.6799999999999997</v>
      </c>
      <c r="Z245" s="521">
        <f t="shared" ref="Z245" si="269">Y245/M245</f>
        <v>0.55089820359281438</v>
      </c>
      <c r="AA245" s="423"/>
      <c r="AB245" s="423"/>
      <c r="AC245" s="423"/>
      <c r="AD245" s="423"/>
      <c r="AE245" s="423"/>
      <c r="AF245" s="423"/>
      <c r="AG245" s="423"/>
      <c r="AH245" s="423"/>
      <c r="AI245" s="423"/>
      <c r="AJ245" s="423"/>
      <c r="AK245" s="423"/>
      <c r="AL245" s="423"/>
      <c r="AM245" s="423"/>
      <c r="AN245" s="423"/>
      <c r="AO245" s="423"/>
      <c r="AP245" s="423"/>
      <c r="AQ245" s="423"/>
      <c r="AR245" s="423"/>
      <c r="AS245" s="423"/>
      <c r="AT245" s="423"/>
      <c r="AU245" s="423"/>
      <c r="AV245" s="423"/>
      <c r="AW245" s="423"/>
      <c r="AX245" s="423"/>
      <c r="AY245" s="423"/>
      <c r="AZ245" s="423"/>
      <c r="BA245" s="423"/>
      <c r="BB245" s="423"/>
      <c r="BC245" s="423"/>
      <c r="BD245" s="423"/>
      <c r="BE245" s="423"/>
      <c r="BF245" s="423"/>
      <c r="BG245" s="423"/>
      <c r="BH245" s="423"/>
      <c r="BI245" s="423"/>
      <c r="BJ245" s="423"/>
      <c r="BK245" s="423"/>
      <c r="BL245" s="423"/>
      <c r="BM245" s="423"/>
      <c r="BN245" s="423"/>
      <c r="BO245" s="423"/>
      <c r="BP245" s="423"/>
      <c r="BQ245" s="423"/>
      <c r="BR245" s="423"/>
      <c r="BS245" s="423"/>
      <c r="BT245" s="423"/>
      <c r="BU245" s="423"/>
      <c r="BV245" s="423"/>
      <c r="BW245" s="423"/>
      <c r="BX245" s="423"/>
      <c r="BY245" s="423"/>
      <c r="BZ245" s="423"/>
      <c r="CA245" s="423"/>
      <c r="CB245" s="423"/>
      <c r="CC245" s="423"/>
      <c r="CD245" s="423"/>
      <c r="CE245" s="423"/>
      <c r="CF245" s="423"/>
      <c r="CG245" s="423"/>
      <c r="CH245" s="423"/>
      <c r="CI245" s="423"/>
      <c r="CJ245" s="423"/>
      <c r="CK245" s="423"/>
      <c r="CL245" s="423"/>
      <c r="CM245" s="423"/>
      <c r="CN245" s="423"/>
      <c r="CO245" s="423"/>
      <c r="CP245" s="423"/>
      <c r="CQ245" s="423"/>
      <c r="CR245" s="423"/>
      <c r="CS245" s="423"/>
      <c r="CT245" s="423"/>
      <c r="CU245" s="423"/>
      <c r="CV245" s="423"/>
      <c r="CW245" s="423"/>
      <c r="CX245" s="423"/>
      <c r="CY245" s="423"/>
      <c r="CZ245" s="423"/>
      <c r="DA245" s="423"/>
      <c r="DB245" s="423"/>
      <c r="DC245" s="423"/>
      <c r="DD245" s="423"/>
      <c r="DE245" s="423"/>
      <c r="DF245" s="423"/>
      <c r="DG245" s="423"/>
      <c r="DH245" s="423"/>
      <c r="DI245" s="423"/>
      <c r="DJ245" s="423"/>
      <c r="DK245" s="423"/>
      <c r="DL245" s="423"/>
      <c r="DM245" s="423"/>
      <c r="DN245" s="423"/>
      <c r="DO245" s="423"/>
      <c r="DP245" s="423"/>
      <c r="DQ245" s="423"/>
      <c r="DR245" s="423"/>
      <c r="DS245" s="423"/>
      <c r="DT245" s="423"/>
      <c r="DU245" s="423"/>
      <c r="DV245" s="423"/>
      <c r="DW245" s="423"/>
      <c r="DX245" s="423"/>
      <c r="DY245" s="423"/>
      <c r="DZ245" s="423"/>
      <c r="EA245" s="423"/>
      <c r="EB245" s="423"/>
      <c r="EC245" s="423"/>
      <c r="ED245" s="423"/>
      <c r="EE245" s="423"/>
      <c r="EF245" s="423"/>
      <c r="EG245" s="423"/>
      <c r="EH245" s="423"/>
      <c r="EI245" s="423"/>
      <c r="EJ245" s="423"/>
      <c r="EK245" s="423"/>
      <c r="EL245" s="423"/>
      <c r="EM245" s="423"/>
      <c r="EN245" s="423"/>
      <c r="EO245" s="423"/>
      <c r="EP245" s="423"/>
      <c r="EQ245" s="423"/>
      <c r="ER245" s="423"/>
      <c r="ES245" s="423"/>
      <c r="ET245" s="423"/>
      <c r="EU245" s="423"/>
      <c r="EV245" s="423"/>
      <c r="EW245" s="423"/>
      <c r="EX245" s="423"/>
      <c r="EY245" s="423"/>
      <c r="EZ245" s="423"/>
      <c r="FA245" s="423"/>
      <c r="FB245" s="423"/>
      <c r="FC245" s="423"/>
      <c r="FD245" s="423"/>
      <c r="FE245" s="423"/>
      <c r="FF245" s="423"/>
      <c r="FG245" s="423"/>
      <c r="FH245" s="423"/>
      <c r="FI245" s="423"/>
      <c r="FJ245" s="423"/>
      <c r="FK245" s="423"/>
      <c r="FL245" s="423"/>
      <c r="FM245" s="423"/>
      <c r="FN245" s="423"/>
      <c r="FO245" s="423"/>
      <c r="FP245" s="423"/>
      <c r="FQ245" s="423"/>
      <c r="FR245" s="423"/>
      <c r="FS245" s="423"/>
      <c r="FT245" s="423"/>
      <c r="FU245" s="423"/>
      <c r="FV245" s="423"/>
      <c r="FW245" s="423"/>
      <c r="FX245" s="423"/>
      <c r="FY245" s="423"/>
      <c r="FZ245" s="423"/>
      <c r="GA245" s="423"/>
      <c r="GB245" s="423"/>
      <c r="GC245" s="423"/>
      <c r="GD245" s="423"/>
      <c r="GE245" s="423"/>
      <c r="GF245" s="423"/>
      <c r="GG245" s="423"/>
      <c r="GH245" s="423"/>
      <c r="GI245" s="423"/>
      <c r="GJ245" s="423"/>
      <c r="GK245" s="423"/>
      <c r="GL245" s="423"/>
      <c r="GM245" s="423"/>
      <c r="GN245" s="423"/>
      <c r="GO245" s="423"/>
      <c r="GP245" s="423"/>
      <c r="GQ245" s="423"/>
      <c r="GR245" s="423"/>
      <c r="GS245" s="423"/>
      <c r="GT245" s="423"/>
      <c r="GU245" s="423"/>
      <c r="GV245" s="423"/>
      <c r="GW245" s="423"/>
      <c r="GX245" s="423"/>
      <c r="GY245" s="423"/>
      <c r="GZ245" s="423"/>
      <c r="HA245" s="423"/>
      <c r="HB245" s="423"/>
      <c r="HC245" s="423"/>
      <c r="HD245" s="423"/>
      <c r="HE245" s="423"/>
      <c r="HF245" s="423"/>
      <c r="HG245" s="423"/>
      <c r="HH245" s="423"/>
      <c r="HI245" s="423"/>
      <c r="HJ245" s="423"/>
      <c r="HK245" s="423"/>
      <c r="HL245" s="423"/>
      <c r="HM245" s="423"/>
      <c r="HN245" s="423"/>
      <c r="HO245" s="423"/>
      <c r="HP245" s="423"/>
      <c r="HQ245" s="423"/>
      <c r="HR245" s="423"/>
      <c r="HS245" s="423"/>
      <c r="HT245" s="423"/>
      <c r="HU245" s="423"/>
      <c r="HV245" s="423"/>
      <c r="HW245" s="423"/>
      <c r="HX245" s="423"/>
      <c r="HY245" s="423"/>
      <c r="HZ245" s="423"/>
      <c r="IA245" s="423"/>
      <c r="IB245" s="423"/>
      <c r="IC245" s="423"/>
      <c r="ID245" s="423"/>
      <c r="IE245" s="423"/>
      <c r="IF245" s="423"/>
      <c r="IG245" s="423"/>
      <c r="IH245" s="423"/>
      <c r="II245" s="423"/>
      <c r="IJ245" s="423"/>
      <c r="IK245" s="423"/>
      <c r="IL245" s="423"/>
      <c r="IM245" s="423"/>
      <c r="IN245" s="423"/>
      <c r="IO245" s="423"/>
      <c r="IP245" s="423"/>
      <c r="IQ245" s="423"/>
      <c r="IR245" s="423"/>
      <c r="IS245" s="423"/>
      <c r="IT245" s="423"/>
      <c r="IU245" s="423"/>
      <c r="IV245" s="423"/>
      <c r="IW245" s="423"/>
      <c r="IX245" s="423"/>
      <c r="IY245" s="423"/>
      <c r="IZ245" s="423"/>
      <c r="JA245" s="423"/>
      <c r="JB245" s="423"/>
      <c r="JC245" s="423"/>
      <c r="JD245" s="423"/>
      <c r="JE245" s="423"/>
      <c r="JF245" s="423"/>
      <c r="JG245" s="423"/>
      <c r="JH245" s="423"/>
      <c r="JI245" s="423"/>
      <c r="JJ245" s="423"/>
      <c r="JK245" s="423"/>
      <c r="JL245" s="423"/>
      <c r="JM245" s="423"/>
      <c r="JN245" s="423"/>
      <c r="JO245" s="423"/>
      <c r="JP245" s="423"/>
      <c r="JQ245" s="423"/>
      <c r="JR245" s="423"/>
      <c r="JS245" s="423"/>
      <c r="JT245" s="423"/>
      <c r="JU245" s="423"/>
      <c r="JV245" s="423"/>
      <c r="JW245" s="423"/>
      <c r="JX245" s="423"/>
      <c r="JY245" s="423"/>
      <c r="JZ245" s="423"/>
      <c r="KA245" s="423"/>
      <c r="KB245" s="423"/>
      <c r="KC245" s="423"/>
      <c r="KD245" s="423"/>
      <c r="KE245" s="423"/>
      <c r="KF245" s="423"/>
      <c r="KG245" s="423"/>
      <c r="KH245" s="423"/>
      <c r="KI245" s="423"/>
      <c r="KJ245" s="423"/>
      <c r="KK245" s="423"/>
      <c r="KL245" s="423"/>
      <c r="KM245" s="423"/>
      <c r="KN245" s="423"/>
      <c r="KO245" s="423"/>
      <c r="KP245" s="423"/>
      <c r="KQ245" s="423"/>
      <c r="KR245" s="423"/>
      <c r="KS245" s="423"/>
      <c r="KT245" s="423"/>
      <c r="KU245" s="423"/>
      <c r="KV245" s="423"/>
      <c r="KW245" s="423"/>
      <c r="KX245" s="423"/>
      <c r="KY245" s="423"/>
      <c r="KZ245" s="423"/>
      <c r="LA245" s="423"/>
      <c r="LB245" s="423"/>
      <c r="LC245" s="423"/>
      <c r="LD245" s="423"/>
      <c r="LE245" s="423"/>
      <c r="LF245" s="423"/>
      <c r="LG245" s="423"/>
      <c r="LH245" s="423"/>
      <c r="LI245" s="423"/>
      <c r="LJ245" s="423"/>
      <c r="LK245" s="423"/>
      <c r="LL245" s="423"/>
      <c r="LM245" s="423"/>
      <c r="LN245" s="423"/>
      <c r="LO245" s="423"/>
      <c r="LP245" s="423"/>
      <c r="LQ245" s="423"/>
      <c r="LR245" s="423"/>
      <c r="LS245" s="423"/>
      <c r="LT245" s="423"/>
      <c r="LU245" s="423"/>
      <c r="LV245" s="423"/>
      <c r="LW245" s="423"/>
      <c r="LX245" s="423"/>
      <c r="LY245" s="423"/>
      <c r="LZ245" s="423"/>
      <c r="MA245" s="423"/>
      <c r="MB245" s="423"/>
      <c r="MC245" s="423"/>
      <c r="MD245" s="423"/>
      <c r="ME245" s="423"/>
      <c r="MF245" s="423"/>
      <c r="MG245" s="423"/>
      <c r="MH245" s="423"/>
      <c r="MI245" s="423"/>
      <c r="MJ245" s="423"/>
      <c r="MK245" s="423"/>
      <c r="ML245" s="423"/>
      <c r="MM245" s="423"/>
      <c r="MN245" s="423"/>
      <c r="MO245" s="423"/>
      <c r="MP245" s="423"/>
      <c r="MQ245" s="423"/>
      <c r="MR245" s="423"/>
      <c r="MS245" s="423"/>
      <c r="MT245" s="423"/>
      <c r="MU245" s="423"/>
      <c r="MV245" s="423"/>
      <c r="MW245" s="423"/>
      <c r="MX245" s="423"/>
      <c r="MY245" s="423"/>
      <c r="MZ245" s="423"/>
      <c r="NA245" s="423"/>
      <c r="NB245" s="423"/>
      <c r="NC245" s="423"/>
      <c r="ND245" s="423"/>
      <c r="NE245" s="423"/>
      <c r="NF245" s="423"/>
      <c r="NG245" s="423"/>
      <c r="NH245" s="423"/>
      <c r="NI245" s="423"/>
      <c r="NJ245" s="423"/>
      <c r="NK245" s="423"/>
      <c r="NL245" s="423"/>
      <c r="NM245" s="423"/>
      <c r="NN245" s="423"/>
      <c r="NO245" s="423"/>
      <c r="NP245" s="423"/>
      <c r="NQ245" s="423"/>
      <c r="NR245" s="423"/>
      <c r="NS245" s="423"/>
      <c r="NT245" s="423"/>
      <c r="NU245" s="423"/>
      <c r="NV245" s="423"/>
      <c r="NW245" s="423"/>
      <c r="NX245" s="423"/>
      <c r="NY245" s="423"/>
      <c r="NZ245" s="423"/>
      <c r="OA245" s="423"/>
      <c r="OB245" s="423"/>
      <c r="OC245" s="423"/>
      <c r="OD245" s="423"/>
      <c r="OE245" s="423"/>
      <c r="OF245" s="423"/>
      <c r="OG245" s="423"/>
      <c r="OH245" s="423"/>
      <c r="OI245" s="423"/>
      <c r="OJ245" s="423"/>
      <c r="OK245" s="423"/>
      <c r="OL245" s="423"/>
      <c r="OM245" s="423"/>
      <c r="ON245" s="423"/>
      <c r="OO245" s="423"/>
      <c r="OP245" s="423"/>
      <c r="OQ245" s="423"/>
      <c r="OR245" s="423"/>
      <c r="OS245" s="423"/>
      <c r="OT245" s="423"/>
      <c r="OU245" s="423"/>
      <c r="OV245" s="423"/>
      <c r="OW245" s="423"/>
      <c r="OX245" s="423"/>
      <c r="OY245" s="423"/>
      <c r="OZ245" s="423"/>
      <c r="PA245" s="423"/>
      <c r="PB245" s="423"/>
      <c r="PC245" s="423"/>
      <c r="PD245" s="423"/>
      <c r="PE245" s="423"/>
      <c r="PF245" s="423"/>
      <c r="PG245" s="423"/>
      <c r="PH245" s="423"/>
      <c r="PI245" s="423"/>
      <c r="PJ245" s="423"/>
      <c r="PK245" s="423"/>
      <c r="PL245" s="423"/>
      <c r="PM245" s="423"/>
      <c r="PN245" s="423"/>
      <c r="PO245" s="423"/>
      <c r="PP245" s="423"/>
      <c r="PQ245" s="423"/>
      <c r="PR245" s="423"/>
      <c r="PS245" s="423"/>
      <c r="PT245" s="423"/>
      <c r="PU245" s="423"/>
      <c r="PV245" s="423"/>
      <c r="PW245" s="423"/>
      <c r="PX245" s="423"/>
      <c r="PY245" s="423"/>
      <c r="PZ245" s="423"/>
      <c r="QA245" s="423"/>
      <c r="QB245" s="423"/>
      <c r="QC245" s="423"/>
      <c r="QD245" s="423"/>
      <c r="QE245" s="423"/>
      <c r="QF245" s="423"/>
      <c r="QG245" s="423"/>
      <c r="QH245" s="423"/>
      <c r="QI245" s="423"/>
      <c r="QJ245" s="423"/>
      <c r="QK245" s="423"/>
      <c r="QL245" s="423"/>
      <c r="QM245" s="423"/>
      <c r="QN245" s="423"/>
      <c r="QO245" s="423"/>
      <c r="QP245" s="423"/>
      <c r="QQ245" s="423"/>
      <c r="QR245" s="423"/>
      <c r="QS245" s="423"/>
      <c r="QT245" s="423"/>
      <c r="QU245" s="423"/>
      <c r="QV245" s="423"/>
      <c r="QW245" s="423"/>
      <c r="QX245" s="423"/>
      <c r="QY245" s="423"/>
      <c r="QZ245" s="423"/>
      <c r="RA245" s="423"/>
      <c r="RB245" s="423"/>
      <c r="RC245" s="423"/>
      <c r="RD245" s="423"/>
      <c r="RE245" s="423"/>
      <c r="RF245" s="423"/>
      <c r="RG245" s="423"/>
      <c r="RH245" s="423"/>
      <c r="RI245" s="423"/>
      <c r="RJ245" s="423"/>
      <c r="RK245" s="423"/>
      <c r="RL245" s="423"/>
      <c r="RM245" s="423"/>
      <c r="RN245" s="423"/>
      <c r="RO245" s="423"/>
      <c r="RP245" s="423"/>
      <c r="RQ245" s="423"/>
      <c r="RR245" s="423"/>
      <c r="RS245" s="423"/>
      <c r="RT245" s="423"/>
      <c r="RU245" s="423"/>
      <c r="RV245" s="423"/>
      <c r="RW245" s="423"/>
      <c r="RX245" s="423"/>
      <c r="RY245" s="423"/>
      <c r="RZ245" s="423"/>
      <c r="SA245" s="423"/>
      <c r="SB245" s="423"/>
      <c r="SC245" s="423"/>
      <c r="SD245" s="423"/>
      <c r="SE245" s="423"/>
      <c r="SF245" s="423"/>
      <c r="SG245" s="423"/>
      <c r="SH245" s="423"/>
      <c r="SI245" s="423"/>
      <c r="SJ245" s="423"/>
      <c r="SK245" s="423"/>
      <c r="SL245" s="423"/>
      <c r="SM245" s="423"/>
      <c r="SN245" s="423"/>
      <c r="SO245" s="423"/>
      <c r="SP245" s="423"/>
      <c r="SQ245" s="423"/>
      <c r="SR245" s="423"/>
      <c r="SS245" s="423"/>
      <c r="ST245" s="423"/>
      <c r="SU245" s="423"/>
      <c r="SV245" s="423"/>
      <c r="SW245" s="423"/>
      <c r="SX245" s="423"/>
      <c r="SY245" s="423"/>
      <c r="SZ245" s="423"/>
      <c r="TA245" s="423"/>
      <c r="TB245" s="423"/>
      <c r="TC245" s="423"/>
      <c r="TD245" s="423"/>
      <c r="TE245" s="423"/>
      <c r="TF245" s="423"/>
      <c r="TG245" s="423"/>
      <c r="TH245" s="423"/>
      <c r="TI245" s="423"/>
      <c r="TJ245" s="423"/>
      <c r="TK245" s="423"/>
      <c r="TL245" s="423"/>
      <c r="TM245" s="423"/>
      <c r="TN245" s="423"/>
      <c r="TO245" s="423"/>
      <c r="TP245" s="423"/>
      <c r="TQ245" s="423"/>
      <c r="TR245" s="423"/>
      <c r="TS245" s="423"/>
      <c r="TT245" s="423"/>
      <c r="TU245" s="423"/>
      <c r="TV245" s="423"/>
      <c r="TW245" s="423"/>
      <c r="TX245" s="423"/>
      <c r="TY245" s="423"/>
      <c r="TZ245" s="423"/>
      <c r="UA245" s="423"/>
      <c r="UB245" s="423"/>
      <c r="UC245" s="423"/>
      <c r="UD245" s="423"/>
      <c r="UE245" s="423"/>
      <c r="UF245" s="423"/>
      <c r="UG245" s="423"/>
      <c r="UH245" s="423"/>
      <c r="UI245" s="423"/>
      <c r="UJ245" s="423"/>
      <c r="UK245" s="423"/>
      <c r="UL245" s="423"/>
      <c r="UM245" s="423"/>
      <c r="UN245" s="423"/>
      <c r="UO245" s="423"/>
      <c r="UP245" s="423"/>
      <c r="UQ245" s="423"/>
      <c r="UR245" s="423"/>
      <c r="US245" s="423"/>
      <c r="UT245" s="423"/>
      <c r="UU245" s="423"/>
      <c r="UV245" s="423"/>
      <c r="UW245" s="423"/>
      <c r="UX245" s="423"/>
      <c r="UY245" s="423"/>
      <c r="UZ245" s="423"/>
      <c r="VA245" s="423"/>
      <c r="VB245" s="423"/>
      <c r="VC245" s="423"/>
      <c r="VD245" s="423"/>
      <c r="VE245" s="423"/>
      <c r="VF245" s="423"/>
      <c r="VG245" s="423"/>
      <c r="VH245" s="423"/>
      <c r="VI245" s="423"/>
      <c r="VJ245" s="423"/>
      <c r="VK245" s="423"/>
      <c r="VL245" s="423"/>
      <c r="VM245" s="423"/>
      <c r="VN245" s="423"/>
      <c r="VO245" s="423"/>
      <c r="VP245" s="423"/>
      <c r="VQ245" s="423"/>
      <c r="VR245" s="423"/>
      <c r="VS245" s="423"/>
      <c r="VT245" s="423"/>
      <c r="VU245" s="423"/>
      <c r="VV245" s="423"/>
      <c r="VW245" s="423"/>
      <c r="VX245" s="423"/>
      <c r="VY245" s="423"/>
      <c r="VZ245" s="423"/>
      <c r="WA245" s="423"/>
      <c r="WB245" s="423"/>
      <c r="WC245" s="423"/>
      <c r="WD245" s="423"/>
      <c r="WE245" s="423"/>
      <c r="WF245" s="423"/>
      <c r="WG245" s="423"/>
      <c r="WH245" s="423"/>
      <c r="WI245" s="423"/>
      <c r="WJ245" s="423"/>
      <c r="WK245" s="423"/>
      <c r="WL245" s="423"/>
      <c r="WM245" s="423"/>
      <c r="WN245" s="423"/>
      <c r="WO245" s="423"/>
      <c r="WP245" s="423"/>
      <c r="WQ245" s="423"/>
      <c r="WR245" s="423"/>
      <c r="WS245" s="423"/>
      <c r="WT245" s="423"/>
      <c r="WU245" s="423"/>
      <c r="WV245" s="423"/>
      <c r="WW245" s="423"/>
      <c r="WX245" s="423"/>
      <c r="WY245" s="423"/>
      <c r="WZ245" s="423"/>
      <c r="XA245" s="423"/>
      <c r="XB245" s="423"/>
      <c r="XC245" s="423"/>
      <c r="XD245" s="423"/>
      <c r="XE245" s="423"/>
      <c r="XF245" s="423"/>
      <c r="XG245" s="423"/>
      <c r="XH245" s="423"/>
      <c r="XI245" s="423"/>
      <c r="XJ245" s="423"/>
      <c r="XK245" s="423"/>
      <c r="XL245" s="423"/>
      <c r="XM245" s="423"/>
      <c r="XN245" s="423"/>
      <c r="XO245" s="423"/>
      <c r="XP245" s="423"/>
      <c r="XQ245" s="423"/>
      <c r="XR245" s="423"/>
      <c r="XS245" s="423"/>
      <c r="XT245" s="423"/>
      <c r="XU245" s="423"/>
      <c r="XV245" s="423"/>
      <c r="XW245" s="423"/>
      <c r="XX245" s="423"/>
      <c r="XY245" s="423"/>
      <c r="XZ245" s="423"/>
      <c r="YA245" s="423"/>
      <c r="YB245" s="423"/>
      <c r="YC245" s="423"/>
      <c r="YD245" s="423"/>
      <c r="YE245" s="423"/>
      <c r="YF245" s="423"/>
      <c r="YG245" s="423"/>
      <c r="YH245" s="423"/>
      <c r="YI245" s="423"/>
      <c r="YJ245" s="423"/>
      <c r="YK245" s="423"/>
      <c r="YL245" s="423"/>
      <c r="YM245" s="423"/>
      <c r="YN245" s="423"/>
      <c r="YO245" s="423"/>
      <c r="YP245" s="423"/>
      <c r="YQ245" s="423"/>
      <c r="YR245" s="423"/>
      <c r="YS245" s="423"/>
      <c r="YT245" s="423"/>
      <c r="YU245" s="423"/>
      <c r="YV245" s="423"/>
      <c r="YW245" s="423"/>
      <c r="YX245" s="423"/>
      <c r="YY245" s="423"/>
      <c r="YZ245" s="423"/>
      <c r="ZA245" s="423"/>
      <c r="ZB245" s="423"/>
      <c r="ZC245" s="423"/>
      <c r="ZD245" s="423"/>
      <c r="ZE245" s="423"/>
      <c r="ZF245" s="423"/>
      <c r="ZG245" s="423"/>
      <c r="ZH245" s="423"/>
      <c r="ZI245" s="423"/>
      <c r="ZJ245" s="423"/>
      <c r="ZK245" s="423"/>
      <c r="ZL245" s="423"/>
      <c r="ZM245" s="423"/>
      <c r="ZN245" s="423"/>
      <c r="ZO245" s="423"/>
      <c r="ZP245" s="423"/>
      <c r="ZQ245" s="423"/>
      <c r="ZR245" s="423"/>
      <c r="ZS245" s="423"/>
      <c r="ZT245" s="423"/>
      <c r="ZU245" s="423"/>
      <c r="ZV245" s="423"/>
      <c r="ZW245" s="423"/>
      <c r="ZX245" s="423"/>
      <c r="ZY245" s="423"/>
      <c r="ZZ245" s="423"/>
      <c r="AAA245" s="423"/>
      <c r="AAB245" s="423"/>
      <c r="AAC245" s="423"/>
      <c r="AAD245" s="423"/>
      <c r="AAE245" s="423"/>
      <c r="AAF245" s="423"/>
      <c r="AAG245" s="423"/>
      <c r="AAH245" s="423"/>
      <c r="AAI245" s="423"/>
      <c r="AAJ245" s="423"/>
      <c r="AAK245" s="423"/>
      <c r="AAL245" s="423"/>
      <c r="AAM245" s="423"/>
      <c r="AAN245" s="423"/>
      <c r="AAO245" s="423"/>
      <c r="AAP245" s="423"/>
      <c r="AAQ245" s="423"/>
      <c r="AAR245" s="423"/>
      <c r="AAS245" s="423"/>
      <c r="AAT245" s="423"/>
      <c r="AAU245" s="423"/>
      <c r="AAV245" s="423"/>
      <c r="AAW245" s="423"/>
      <c r="AAX245" s="423"/>
      <c r="AAY245" s="423"/>
      <c r="AAZ245" s="423"/>
      <c r="ABA245" s="423"/>
      <c r="ABB245" s="423"/>
      <c r="ABC245" s="423"/>
      <c r="ABD245" s="423"/>
      <c r="ABE245" s="423"/>
      <c r="ABF245" s="423"/>
      <c r="ABG245" s="423"/>
      <c r="ABH245" s="423"/>
      <c r="ABI245" s="423"/>
      <c r="ABJ245" s="423"/>
      <c r="ABK245" s="423"/>
      <c r="ABL245" s="423"/>
      <c r="ABM245" s="423"/>
      <c r="ABN245" s="423"/>
      <c r="ABO245" s="423"/>
      <c r="ABP245" s="423"/>
      <c r="ABQ245" s="423"/>
      <c r="ABR245" s="423"/>
      <c r="ABS245" s="423"/>
      <c r="ABT245" s="423"/>
      <c r="ABU245" s="423"/>
      <c r="ABV245" s="423"/>
      <c r="ABW245" s="423"/>
      <c r="ABX245" s="423"/>
      <c r="ABY245" s="423"/>
      <c r="ABZ245" s="423"/>
      <c r="ACA245" s="423"/>
      <c r="ACB245" s="423"/>
      <c r="ACC245" s="423"/>
      <c r="ACD245" s="423"/>
      <c r="ACE245" s="423"/>
      <c r="ACF245" s="423"/>
      <c r="ACG245" s="423"/>
      <c r="ACH245" s="423"/>
      <c r="ACI245" s="423"/>
      <c r="ACJ245" s="423"/>
      <c r="ACK245" s="423"/>
      <c r="ACL245" s="423"/>
      <c r="ACM245" s="423"/>
      <c r="ACN245" s="423"/>
      <c r="ACO245" s="423"/>
      <c r="ACP245" s="423"/>
      <c r="ACQ245" s="423"/>
      <c r="ACR245" s="423"/>
      <c r="ACS245" s="423"/>
      <c r="ACT245" s="423"/>
      <c r="ACU245" s="423"/>
      <c r="ACV245" s="423"/>
      <c r="ACW245" s="423"/>
      <c r="ACX245" s="423"/>
      <c r="ACY245" s="423"/>
      <c r="ACZ245" s="423"/>
      <c r="ADA245" s="423"/>
      <c r="ADB245" s="423"/>
      <c r="ADC245" s="423"/>
      <c r="ADD245" s="423"/>
      <c r="ADE245" s="423"/>
      <c r="ADF245" s="423"/>
      <c r="ADG245" s="423"/>
      <c r="ADH245" s="423"/>
      <c r="ADI245" s="423"/>
      <c r="ADJ245" s="423"/>
    </row>
    <row r="246" spans="1:790" s="423" customFormat="1" ht="13.8" x14ac:dyDescent="0.3">
      <c r="A246" s="663"/>
      <c r="B246" s="671"/>
      <c r="C246" s="655"/>
      <c r="D246" s="657"/>
      <c r="E246" s="657"/>
      <c r="F246" s="657"/>
      <c r="G246" s="657"/>
      <c r="H246" s="657"/>
      <c r="I246" s="672"/>
      <c r="J246" s="660"/>
      <c r="K246" s="667"/>
      <c r="L246" s="665"/>
      <c r="M246" s="640"/>
      <c r="N246" s="640"/>
      <c r="O246" s="620"/>
      <c r="P246" s="621"/>
      <c r="Q246" s="673"/>
      <c r="R246" s="481"/>
      <c r="S246" s="514"/>
      <c r="T246" s="515"/>
      <c r="U246" s="482"/>
      <c r="V246" s="514"/>
      <c r="W246" s="515"/>
      <c r="X246" s="517"/>
      <c r="Y246" s="517"/>
    </row>
    <row r="247" spans="1:790" s="423" customFormat="1" ht="27.6" x14ac:dyDescent="0.3">
      <c r="A247" s="663"/>
      <c r="B247" s="666" t="s">
        <v>141</v>
      </c>
      <c r="C247" s="655"/>
      <c r="D247" s="657"/>
      <c r="E247" s="657"/>
      <c r="F247" s="657"/>
      <c r="G247" s="657"/>
      <c r="H247" s="657"/>
      <c r="I247" s="672"/>
      <c r="J247" s="660"/>
      <c r="K247" s="667"/>
      <c r="L247" s="665"/>
      <c r="M247" s="640"/>
      <c r="N247" s="640"/>
      <c r="O247" s="620"/>
      <c r="P247" s="621"/>
      <c r="Q247" s="673"/>
      <c r="R247" s="481"/>
      <c r="S247" s="514"/>
      <c r="T247" s="515"/>
      <c r="U247" s="482"/>
      <c r="V247" s="514"/>
      <c r="W247" s="515"/>
      <c r="X247" s="517"/>
      <c r="Y247" s="517"/>
    </row>
    <row r="248" spans="1:790" s="423" customFormat="1" ht="13.8" x14ac:dyDescent="0.3">
      <c r="A248" s="611"/>
      <c r="B248" s="623" t="s">
        <v>142</v>
      </c>
      <c r="C248" s="630"/>
      <c r="D248" s="625">
        <v>180</v>
      </c>
      <c r="E248" s="625">
        <v>1.5</v>
      </c>
      <c r="F248" s="625"/>
      <c r="G248" s="625">
        <v>1.8</v>
      </c>
      <c r="H248" s="625"/>
      <c r="I248" s="624" t="s">
        <v>22</v>
      </c>
      <c r="J248" s="632">
        <f>D248*E248*G248</f>
        <v>486</v>
      </c>
      <c r="K248" s="641">
        <v>11</v>
      </c>
      <c r="L248" s="639">
        <f>J248*K248</f>
        <v>5346</v>
      </c>
      <c r="M248" s="490">
        <f t="shared" ref="M248" si="270">K248*(100%-16.5%)</f>
        <v>9.1849999999999987</v>
      </c>
      <c r="N248" s="490">
        <f t="shared" ref="N248" si="271">IF(M248&gt;0,M248*J248,"")</f>
        <v>4463.9099999999989</v>
      </c>
      <c r="O248" s="620"/>
      <c r="P248" s="621"/>
      <c r="Q248" s="673"/>
      <c r="R248" s="481">
        <f t="shared" ref="R248" si="272">IF(N248&gt;0,J248,"")</f>
        <v>486</v>
      </c>
      <c r="S248" s="514">
        <f>S236</f>
        <v>8</v>
      </c>
      <c r="T248" s="515">
        <f t="shared" ref="T248" si="273">IF(S248&gt;0,S248*R248,"")</f>
        <v>3888</v>
      </c>
      <c r="U248" s="482">
        <f t="shared" ref="U248" si="274">IF(R248&gt;0,R248,"")</f>
        <v>486</v>
      </c>
      <c r="V248" s="526">
        <f>V224</f>
        <v>0</v>
      </c>
      <c r="W248" s="515" t="str">
        <f t="shared" ref="W248" si="275">IF(V248&gt;0,V248*U248,"")</f>
        <v/>
      </c>
      <c r="X248" s="507">
        <f t="shared" ref="X248" si="276">V248+S248</f>
        <v>8</v>
      </c>
      <c r="Y248" s="520">
        <f t="shared" ref="Y248" si="277">M248-X248</f>
        <v>1.1849999999999987</v>
      </c>
      <c r="Z248" s="521">
        <f t="shared" ref="Z248" si="278">Y248/M248</f>
        <v>0.1290146978769732</v>
      </c>
    </row>
    <row r="249" spans="1:790" s="423" customFormat="1" thickBot="1" x14ac:dyDescent="0.35">
      <c r="A249" s="642"/>
      <c r="B249" s="643"/>
      <c r="C249" s="644"/>
      <c r="D249" s="645"/>
      <c r="E249" s="645"/>
      <c r="F249" s="645"/>
      <c r="G249" s="645"/>
      <c r="H249" s="645"/>
      <c r="I249" s="646"/>
      <c r="J249" s="647"/>
      <c r="K249" s="648"/>
      <c r="L249" s="649"/>
      <c r="M249" s="650"/>
      <c r="N249" s="650"/>
      <c r="O249" s="651"/>
      <c r="P249" s="652"/>
      <c r="Q249" s="650"/>
      <c r="R249" s="481"/>
      <c r="S249" s="514"/>
      <c r="T249" s="515"/>
      <c r="U249" s="482"/>
      <c r="V249" s="514"/>
      <c r="W249" s="515"/>
      <c r="X249" s="517"/>
      <c r="Y249" s="517"/>
    </row>
    <row r="250" spans="1:790" s="423" customFormat="1" ht="15" thickBot="1" x14ac:dyDescent="0.35">
      <c r="A250" s="465" t="s">
        <v>133</v>
      </c>
      <c r="B250" s="581" t="s">
        <v>143</v>
      </c>
      <c r="C250" s="466"/>
      <c r="D250" s="467"/>
      <c r="E250" s="467"/>
      <c r="F250" s="467"/>
      <c r="G250" s="467"/>
      <c r="H250" s="467"/>
      <c r="I250" s="467"/>
      <c r="J250" s="468"/>
      <c r="K250" s="469"/>
      <c r="L250" s="384">
        <f>+L245+L248+L236+L241</f>
        <v>42231.57</v>
      </c>
      <c r="M250" s="494"/>
      <c r="N250" s="494">
        <f>SUM(N232:N249)</f>
        <v>35263.360949999995</v>
      </c>
      <c r="O250" s="408"/>
      <c r="P250" s="291"/>
      <c r="Q250" s="494"/>
      <c r="R250" s="384"/>
      <c r="S250" s="516"/>
      <c r="T250" s="516">
        <f>SUM(T232:T249)</f>
        <v>22577.965</v>
      </c>
      <c r="U250" s="384"/>
      <c r="V250" s="516"/>
      <c r="W250" s="516">
        <f>SUM(W232:W249)</f>
        <v>0</v>
      </c>
      <c r="X250" s="507"/>
      <c r="Y250" s="507"/>
      <c r="Z250" s="478"/>
      <c r="AA250" s="516">
        <f>SUM(R250:W250)</f>
        <v>22577.965</v>
      </c>
      <c r="AB250" s="518">
        <f>N250-AA250</f>
        <v>12685.395949999995</v>
      </c>
      <c r="AC250" s="519">
        <f>AB250/L250</f>
        <v>0.30037708638348026</v>
      </c>
    </row>
    <row r="251" spans="1:790" ht="15" thickBot="1" x14ac:dyDescent="0.35">
      <c r="A251" s="587"/>
      <c r="B251" s="588" t="s">
        <v>144</v>
      </c>
      <c r="C251" s="589"/>
      <c r="D251" s="589"/>
      <c r="E251" s="589"/>
      <c r="F251" s="589"/>
      <c r="G251" s="589"/>
      <c r="H251" s="589"/>
      <c r="I251" s="590"/>
      <c r="J251" s="589"/>
      <c r="K251" s="591"/>
      <c r="L251" s="592">
        <f>L228+L250</f>
        <v>547544.73433000001</v>
      </c>
      <c r="M251" s="592"/>
      <c r="N251" s="592">
        <f>N250+N228</f>
        <v>731736.06296554988</v>
      </c>
      <c r="O251" s="593"/>
      <c r="P251" s="594">
        <v>880338.11</v>
      </c>
      <c r="Q251" s="595"/>
      <c r="R251" s="596"/>
      <c r="S251" s="597"/>
      <c r="T251" s="598"/>
      <c r="U251" s="596"/>
      <c r="V251" s="597"/>
      <c r="W251" s="598"/>
      <c r="AA251" s="531">
        <f>AA79+AA222+AA226+AA28+AA250</f>
        <v>475737.69776000001</v>
      </c>
      <c r="AB251" s="518">
        <f>N251-AA251</f>
        <v>255998.36520554987</v>
      </c>
      <c r="AC251" s="519">
        <f>AB251/L251</f>
        <v>0.46753872177914524</v>
      </c>
    </row>
    <row r="253" spans="1:790" x14ac:dyDescent="0.3">
      <c r="F253" s="281"/>
      <c r="J253" s="282" t="s">
        <v>213</v>
      </c>
      <c r="K253" s="283">
        <v>-0.08</v>
      </c>
      <c r="L253" s="284">
        <f>L251*K253</f>
        <v>-43803.578746400002</v>
      </c>
      <c r="M253" s="284"/>
      <c r="N253" s="284"/>
      <c r="P253" s="298">
        <f>P251*K253</f>
        <v>-70427.048800000004</v>
      </c>
      <c r="Q253" s="284"/>
    </row>
    <row r="254" spans="1:790" x14ac:dyDescent="0.3">
      <c r="F254" s="281"/>
      <c r="J254" s="223"/>
      <c r="K254" s="285"/>
      <c r="L254" s="223"/>
      <c r="M254" s="282"/>
      <c r="N254" s="282"/>
      <c r="P254" s="299"/>
    </row>
    <row r="255" spans="1:790" x14ac:dyDescent="0.3">
      <c r="B255" s="583"/>
      <c r="F255" s="281"/>
      <c r="J255" s="223" t="s">
        <v>216</v>
      </c>
      <c r="K255" s="285"/>
      <c r="L255" s="286">
        <f>L253+L251</f>
        <v>503741.15558359999</v>
      </c>
      <c r="M255" s="284"/>
      <c r="N255" s="284"/>
      <c r="P255" s="299">
        <f>SUM(P251:P254)</f>
        <v>809911.0612</v>
      </c>
      <c r="Q255" s="284"/>
    </row>
    <row r="256" spans="1:790" x14ac:dyDescent="0.3">
      <c r="B256" s="583"/>
      <c r="J256" s="223"/>
      <c r="K256" s="285"/>
      <c r="L256" s="223"/>
      <c r="M256" s="282"/>
      <c r="N256" s="282"/>
      <c r="P256" s="299"/>
    </row>
    <row r="257" spans="2:17" x14ac:dyDescent="0.3">
      <c r="J257" s="282" t="s">
        <v>213</v>
      </c>
      <c r="K257" s="283">
        <v>-8.5000000000000006E-2</v>
      </c>
      <c r="L257" s="284">
        <f>L255*K257</f>
        <v>-42817.998224606003</v>
      </c>
      <c r="M257" s="284"/>
      <c r="N257" s="284"/>
      <c r="P257" s="298">
        <f>P255*K257</f>
        <v>-68842.440201999998</v>
      </c>
      <c r="Q257" s="284"/>
    </row>
    <row r="258" spans="2:17" x14ac:dyDescent="0.3">
      <c r="J258" s="223"/>
      <c r="K258" s="287"/>
      <c r="L258" s="286"/>
      <c r="M258" s="284"/>
      <c r="N258" s="284"/>
      <c r="P258" s="299"/>
      <c r="Q258" s="284"/>
    </row>
    <row r="259" spans="2:17" x14ac:dyDescent="0.3">
      <c r="B259" s="583"/>
      <c r="J259" s="223" t="s">
        <v>217</v>
      </c>
      <c r="K259" s="285"/>
      <c r="L259" s="286">
        <f>L257+L255</f>
        <v>460923.15735899401</v>
      </c>
      <c r="M259" s="284"/>
      <c r="N259" s="284"/>
      <c r="P259" s="299">
        <f>SUM(P255:P258)</f>
        <v>741068.62099800003</v>
      </c>
      <c r="Q259" s="284"/>
    </row>
    <row r="260" spans="2:17" ht="15" thickBot="1" x14ac:dyDescent="0.35">
      <c r="B260" s="583"/>
    </row>
    <row r="261" spans="2:17" ht="15" thickBot="1" x14ac:dyDescent="0.35">
      <c r="B261" s="583"/>
      <c r="L261" s="535">
        <f>L259+P259</f>
        <v>1201991.778356994</v>
      </c>
      <c r="M261" s="554"/>
      <c r="N261" s="554"/>
      <c r="O261" s="536"/>
      <c r="P261" s="537"/>
      <c r="Q261" s="501"/>
    </row>
    <row r="262" spans="2:17" x14ac:dyDescent="0.3">
      <c r="L262" s="297"/>
      <c r="M262" s="470"/>
      <c r="N262" s="470"/>
      <c r="Q262" s="506"/>
    </row>
    <row r="263" spans="2:17" x14ac:dyDescent="0.3">
      <c r="O263" s="271"/>
    </row>
    <row r="264" spans="2:17" x14ac:dyDescent="0.3">
      <c r="L264" s="297"/>
      <c r="M264" s="470"/>
      <c r="N264" s="470"/>
      <c r="Q264" s="506"/>
    </row>
  </sheetData>
  <protectedRanges>
    <protectedRange sqref="K78:K82 K10 K28 K226:K227 K222:K224" name="Intervallo2"/>
    <protectedRange sqref="K249 K232:K247" name="Intervallo1_2"/>
    <protectedRange sqref="K13:K27 K32:K77" name="Intervallo2_7"/>
    <protectedRange sqref="K221" name="Intervallo2_14"/>
    <protectedRange sqref="K248" name="Intervallo1_2_1"/>
  </protectedRanges>
  <autoFilter ref="A7:W251" xr:uid="{157E1DBA-2774-4875-BF79-705B238950B4}"/>
  <mergeCells count="14">
    <mergeCell ref="L261:P261"/>
    <mergeCell ref="M7:M8"/>
    <mergeCell ref="S7:S8"/>
    <mergeCell ref="T7:T8"/>
    <mergeCell ref="N7:N8"/>
    <mergeCell ref="A7:A8"/>
    <mergeCell ref="V7:V8"/>
    <mergeCell ref="R6:T6"/>
    <mergeCell ref="U6:W6"/>
    <mergeCell ref="W7:W8"/>
    <mergeCell ref="Q7:Q8"/>
    <mergeCell ref="B7:B8"/>
    <mergeCell ref="I7:I8"/>
    <mergeCell ref="J7:J8"/>
  </mergeCells>
  <pageMargins left="0.7" right="0.7" top="0.75" bottom="0.75" header="0.3" footer="0.3"/>
  <pageSetup paperSize="8" scale="7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MT-CME.01</vt:lpstr>
      <vt:lpstr>POSA IN OPERA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Roberta Bruno</dc:creator>
  <cp:keywords/>
  <dc:description/>
  <cp:lastModifiedBy>Cristiano Cavallotti</cp:lastModifiedBy>
  <cp:revision/>
  <cp:lastPrinted>2025-05-23T08:12:41Z</cp:lastPrinted>
  <dcterms:created xsi:type="dcterms:W3CDTF">2023-12-07T14:17:00Z</dcterms:created>
  <dcterms:modified xsi:type="dcterms:W3CDTF">2026-03-19T08:32:16Z</dcterms:modified>
  <cp:category/>
  <cp:contentStatus/>
</cp:coreProperties>
</file>